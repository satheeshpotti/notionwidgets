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Budget Setup" sheetId="3" state="visible" r:id="rId3"/>
    <sheet xmlns:r="http://schemas.openxmlformats.org/officeDocument/2006/relationships" name="Recurring Transactions" sheetId="4" state="visible" r:id="rId4"/>
    <sheet xmlns:r="http://schemas.openxmlformats.org/officeDocument/2006/relationships" name="Transaction Log" sheetId="5" state="visible" r:id="rId5"/>
    <sheet xmlns:r="http://schemas.openxmlformats.org/officeDocument/2006/relationships" name="Accounts" sheetId="6" state="visible" r:id="rId6"/>
    <sheet xmlns:r="http://schemas.openxmlformats.org/officeDocument/2006/relationships" name="Debt Tracker" sheetId="7" state="visible" r:id="rId7"/>
    <sheet xmlns:r="http://schemas.openxmlformats.org/officeDocument/2006/relationships" name="Savings Goals" sheetId="8" state="visible" r:id="rId8"/>
    <sheet xmlns:r="http://schemas.openxmlformats.org/officeDocument/2006/relationships" name="Reports" sheetId="9" state="visible" r:id="rId9"/>
    <sheet xmlns:r="http://schemas.openxmlformats.org/officeDocument/2006/relationships" name="Smart Calendar" sheetId="10" state="visible" r:id="rId10"/>
    <sheet xmlns:r="http://schemas.openxmlformats.org/officeDocument/2006/relationships" name="Instruc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[Red]-$#,##0.00"/>
    <numFmt numFmtId="165" formatCode="0.0%"/>
    <numFmt numFmtId="166" formatCode="$#,##0"/>
    <numFmt numFmtId="167" formatCode="0.0"/>
  </numFmts>
  <fonts count="8">
    <font>
      <name val="Calibri"/>
      <family val="2"/>
      <color theme="1"/>
      <sz val="11"/>
      <scheme val="minor"/>
    </font>
    <font>
      <name val="Aptos Display"/>
      <b val="1"/>
      <color rgb="00132338"/>
      <sz val="26"/>
    </font>
    <font>
      <name val="Aptos"/>
      <color rgb="0064748B"/>
      <sz val="11"/>
    </font>
    <font>
      <name val="Aptos"/>
      <b val="1"/>
      <color rgb="00132338"/>
    </font>
    <font>
      <name val="Aptos"/>
      <color rgb="00132338"/>
      <sz val="10"/>
    </font>
    <font>
      <name val="Aptos Display"/>
      <b val="1"/>
      <color rgb="00132338"/>
      <sz val="30"/>
    </font>
    <font>
      <name val="Aptos"/>
      <b val="1"/>
      <color rgb="00132338"/>
      <sz val="13"/>
    </font>
    <font>
      <name val="Aptos"/>
      <b val="1"/>
      <color rgb="00132338"/>
      <sz val="14"/>
    </font>
  </fonts>
  <fills count="6">
    <fill>
      <patternFill/>
    </fill>
    <fill>
      <patternFill patternType="gray125"/>
    </fill>
    <fill>
      <patternFill patternType="solid">
        <fgColor rgb="00C6F4FA"/>
      </patternFill>
    </fill>
    <fill>
      <patternFill patternType="solid">
        <fgColor rgb="00E8E6FF"/>
      </patternFill>
    </fill>
    <fill>
      <patternFill patternType="solid">
        <fgColor rgb="00D9FF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FE1EE"/>
      </left>
      <right style="thin">
        <color rgb="00CFE1EE"/>
      </right>
      <top style="thin">
        <color rgb="00CFE1EE"/>
      </top>
      <bottom style="thin">
        <color rgb="00CFE1E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166" fontId="7" fillId="0" borderId="0" pivotButton="0" quotePrefix="0" xfId="0"/>
    <xf numFmtId="165" fontId="7" fillId="0" borderId="0" pivotButton="0" quotePrefix="0" xfId="0"/>
    <xf numFmtId="167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 by Sub-Category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'Dashboard'!$B$15:$B$30</f>
            </numRef>
          </cat>
          <val>
            <numRef>
              <f>'Dashboard'!$C$15:$C$30</f>
            </numRef>
          </val>
        </ser>
        <ser>
          <idx val="1"/>
          <order val="1"/>
          <tx>
            <strRef>
              <f>'Dashboard'!D14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'Dashboard'!$B$15:$B$30</f>
            </numRef>
          </cat>
          <val>
            <numRef>
              <f>'Dashboard'!$D$15:$D$30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Needs / Wants / Investments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'Dashboard'!C34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'Dashboard'!$B$35:$B$37</f>
            </numRef>
          </cat>
          <val>
            <numRef>
              <f>'Dashboard'!$C$35:$C$37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Balances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'Debt Tracker'!E5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'Debt Tracker'!$A$6:$A$8</f>
            </numRef>
          </cat>
          <val>
            <numRef>
              <f>'Debt Tracker'!$E$6:$E$8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Emergency Fund Progress</a:t>
            </a:r>
          </a:p>
        </rich>
      </tx>
    </title>
    <plotArea>
      <doughnutChart>
        <varyColors val="1"/>
        <ser>
          <idx val="0"/>
          <order val="0"/>
          <tx>
            <strRef>
              <f>'Savings Goals'!Q5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Goals'!$P$6:$P$7</f>
            </numRef>
          </cat>
          <val>
            <numRef>
              <f>'Savings Goals'!$Q$6:$Q$7</f>
            </numRef>
          </val>
        </ser>
        <firstSliceAng val="0"/>
        <holeSize val="65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Income / Expenses / Savings</a:t>
            </a:r>
          </a:p>
        </rich>
      </tx>
    </title>
    <plotArea>
      <lineChart>
        <grouping val="standard"/>
        <ser>
          <idx val="0"/>
          <order val="0"/>
          <tx>
            <strRef>
              <f>'Reports'!B5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'Reports'!$A$6:$A$10</f>
            </numRef>
          </cat>
          <val>
            <numRef>
              <f>'Reports'!$B$6:$B$10</f>
            </numRef>
          </val>
        </ser>
        <ser>
          <idx val="1"/>
          <order val="1"/>
          <tx>
            <strRef>
              <f>'Reports'!C5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'Reports'!$A$6:$A$10</f>
            </numRef>
          </cat>
          <val>
            <numRef>
              <f>'Reports'!$C$6:$C$10</f>
            </numRef>
          </val>
        </ser>
        <ser>
          <idx val="2"/>
          <order val="2"/>
          <tx>
            <strRef>
              <f>'Reports'!D5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'Reports'!$A$6:$A$10</f>
            </numRef>
          </cat>
          <val>
            <numRef>
              <f>'Reports'!$D$6:$D$10</f>
            </numRef>
          </val>
        </ser>
        <ser>
          <idx val="3"/>
          <order val="3"/>
          <tx>
            <strRef>
              <f>'Reports'!E5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'Reports'!$A$6:$A$10</f>
            </numRef>
          </cat>
          <val>
            <numRef>
              <f>'Reports'!$E$6:$E$10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13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8</row>
      <rowOff>0</rowOff>
    </from>
    <ext cx="28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ettings" displayName="tblSettings" ref="A5:C11" headerRowCount="1">
  <autoFilter ref="A5:C11"/>
  <tableColumns count="3">
    <tableColumn id="1" name="Setting"/>
    <tableColumn id="2" name="Value"/>
    <tableColumn id="3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BudgetSetup" displayName="tblBudgetSetup" ref="A5:I21" headerRowCount="1">
  <autoFilter ref="A5:I21"/>
  <tableColumns count="9">
    <tableColumn id="1" name="Category"/>
    <tableColumn id="2" name="Sub-Category"/>
    <tableColumn id="3" name="Group"/>
    <tableColumn id="4" name="Monthly Budget"/>
    <tableColumn id="5" name="Priority"/>
    <tableColumn id="6" name="Warning Threshold"/>
    <tableColumn id="7" name="Hard Limit"/>
    <tableColumn id="8" name="Rollover?"/>
    <tableColumn id="9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Recurring" displayName="tblRecurring" ref="A5:M13" headerRowCount="1">
  <autoFilter ref="A5:M13"/>
  <tableColumns count="13">
    <tableColumn id="1" name="Active?"/>
    <tableColumn id="2" name="Name"/>
    <tableColumn id="3" name="Type"/>
    <tableColumn id="4" name="Category"/>
    <tableColumn id="5" name="Sub-Category"/>
    <tableColumn id="6" name="Amount"/>
    <tableColumn id="7" name="Account"/>
    <tableColumn id="8" name="Frequency"/>
    <tableColumn id="9" name="Next Date"/>
    <tableColumn id="10" name="Day of Month"/>
    <tableColumn id="11" name="Auto-Post?"/>
    <tableColumn id="12" name="Status"/>
    <tableColumn id="13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Transactions" displayName="tblTransactions" ref="A5:N1006" headerRowCount="1">
  <autoFilter ref="A5:N1006"/>
  <tableColumns count="14">
    <tableColumn id="1" name="Date"/>
    <tableColumn id="2" name="Name"/>
    <tableColumn id="3" name="Type"/>
    <tableColumn id="4" name="Category"/>
    <tableColumn id="5" name="Sub-Category"/>
    <tableColumn id="6" name="Amount"/>
    <tableColumn id="7" name="Account"/>
    <tableColumn id="8" name="Payment Method"/>
    <tableColumn id="9" name="Status"/>
    <tableColumn id="10" name="Recurring Source"/>
    <tableColumn id="11" name="Month"/>
    <tableColumn id="12" name="Week"/>
    <tableColumn id="13" name="Duplicate Check"/>
    <tableColumn id="14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Accounts" displayName="tblAccounts" ref="A5:J13" headerRowCount="1">
  <autoFilter ref="A5:J13"/>
  <tableColumns count="10">
    <tableColumn id="1" name="Account"/>
    <tableColumn id="2" name="Type"/>
    <tableColumn id="3" name="Institution"/>
    <tableColumn id="4" name="Opening Balance"/>
    <tableColumn id="5" name="Current Balance"/>
    <tableColumn id="6" name="Credit Limit"/>
    <tableColumn id="7" name="Include in Net Worth?"/>
    <tableColumn id="8" name="Utilization"/>
    <tableColumn id="9" name="Health"/>
    <tableColumn id="10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Debts" displayName="tblDebts" ref="A5:N8" headerRowCount="1">
  <autoFilter ref="A5:N8"/>
  <tableColumns count="14">
    <tableColumn id="1" name="Debt"/>
    <tableColumn id="2" name="Type"/>
    <tableColumn id="3" name="Lender"/>
    <tableColumn id="4" name="Starting Balance"/>
    <tableColumn id="5" name="Current Balance"/>
    <tableColumn id="6" name="APR"/>
    <tableColumn id="7" name="Minimum Payment"/>
    <tableColumn id="8" name="Extra Payment"/>
    <tableColumn id="9" name="Strategy"/>
    <tableColumn id="10" name="Monthly Payment"/>
    <tableColumn id="11" name="Interest This Month"/>
    <tableColumn id="12" name="Projected Months"/>
    <tableColumn id="13" name="Payoff Status"/>
    <tableColumn id="14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SavingsGoals" displayName="tblSavingsGoals" ref="A5:L10" headerRowCount="1">
  <autoFilter ref="A5:L10"/>
  <tableColumns count="12">
    <tableColumn id="1" name="Goal"/>
    <tableColumn id="2" name="Goal Type"/>
    <tableColumn id="3" name="Target Amount"/>
    <tableColumn id="4" name="Current Amount"/>
    <tableColumn id="5" name="Monthly Contribution"/>
    <tableColumn id="6" name="Target Date"/>
    <tableColumn id="7" name="Progress"/>
    <tableColumn id="8" name="Remaining"/>
    <tableColumn id="9" name="Months Left"/>
    <tableColumn id="10" name="Required Monthly"/>
    <tableColumn id="11" name="Status"/>
    <tableColumn id="12" name="Note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Reports" displayName="tblReports" ref="A5:F10" headerRowCount="1">
  <autoFilter ref="A5:F10"/>
  <tableColumns count="6">
    <tableColumn id="1" name="Month"/>
    <tableColumn id="2" name="Income"/>
    <tableColumn id="3" name="Expenses"/>
    <tableColumn id="4" name="Investments"/>
    <tableColumn id="5" name="Savings"/>
    <tableColumn id="6" name="Savings Rat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Instructions" displayName="tblInstructions" ref="A5:C12" headerRowCount="1">
  <autoFilter ref="A5:C12"/>
  <tableColumns count="3">
    <tableColumn id="1" name="Step"/>
    <tableColumn id="2" name="Action"/>
    <tableColumn id="3" name="Detail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8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/>
    <row r="2" ht="22" customHeight="1">
      <c r="B2" s="1" t="inlineStr">
        <is>
          <t>Budget &amp; Finance Dashboard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22" customHeight="1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22" customHeight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22" customHeight="1">
      <c r="B5" s="3" t="inlineStr">
        <is>
          <t>A premium no-API finance command center for budgets, transactions, recurring expenses, debts, savings, and goals.</t>
        </is>
      </c>
    </row>
    <row r="6" ht="22" customHeight="1"/>
    <row r="7" ht="22" customHeight="1">
      <c r="B7" s="4" t="inlineStr">
        <is>
          <t>Net Worth</t>
        </is>
      </c>
      <c r="C7" s="5" t="n"/>
      <c r="D7" s="5" t="n"/>
      <c r="E7" s="4" t="inlineStr">
        <is>
          <t>Monthly Cash Flow</t>
        </is>
      </c>
      <c r="F7" s="5" t="n"/>
      <c r="G7" s="5" t="n"/>
      <c r="H7" s="4" t="inlineStr">
        <is>
          <t>Savings Rate</t>
        </is>
      </c>
      <c r="I7" s="5" t="n"/>
      <c r="J7" s="5" t="n"/>
      <c r="K7" s="4" t="inlineStr">
        <is>
          <t>Runway</t>
        </is>
      </c>
      <c r="L7" s="5" t="n"/>
      <c r="M7" s="5" t="n"/>
      <c r="N7" s="4" t="inlineStr">
        <is>
          <t>Debt Balance</t>
        </is>
      </c>
      <c r="O7" s="5" t="n"/>
      <c r="P7" s="5" t="n"/>
    </row>
    <row r="8" ht="22" customHeight="1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22" customHeight="1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 ht="22" customHeight="1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22" customHeight="1">
      <c r="B11" s="6">
        <f>SUMIF(Accounts!G:G,"Yes",Accounts!E:E)</f>
        <v/>
      </c>
      <c r="E11" s="6">
        <f>SUMIFS('Transaction Log'!F:F,'Transaction Log'!C:C,"Income",'Transaction Log'!K:K,Settings!B6)-SUMIFS('Transaction Log'!F:F,'Transaction Log'!C:C,"Expense",'Transaction Log'!K:K,Settings!B6)</f>
        <v/>
      </c>
      <c r="H11" s="7">
        <f>IF(SUMIFS('Transaction Log'!F:F,'Transaction Log'!C:C,"Income",'Transaction Log'!K:K,Settings!B6)=0,0,(SUMIFS('Transaction Log'!F:F,'Transaction Log'!C:C,"Income",'Transaction Log'!K:K,Settings!B6)-SUMIFS('Transaction Log'!F:F,'Transaction Log'!C:C,"Expense",'Transaction Log'!K:K,Settings!B6))/SUMIFS('Transaction Log'!F:F,'Transaction Log'!C:C,"Income",'Transaction Log'!K:K,Settings!B6))</f>
        <v/>
      </c>
      <c r="K11" s="8">
        <f>SUMIFS(Accounts!E:E,Accounts!B:B,"Bank")/Settings!B7</f>
        <v/>
      </c>
      <c r="N11" s="6">
        <f>SUM('Debt Tracker'!E:E)</f>
        <v/>
      </c>
    </row>
    <row r="12" ht="22" customHeight="1"/>
    <row r="13" ht="22" customHeight="1"/>
    <row r="14" ht="22" customHeight="1">
      <c r="B14" s="9" t="inlineStr">
        <is>
          <t>Sub-Category</t>
        </is>
      </c>
      <c r="C14" s="9" t="inlineStr">
        <is>
          <t>Spent</t>
        </is>
      </c>
      <c r="D14" s="9" t="inlineStr">
        <is>
          <t>Budget</t>
        </is>
      </c>
    </row>
    <row r="15" ht="22" customHeight="1">
      <c r="B15" s="10" t="inlineStr">
        <is>
          <t>Rent / Mortgage</t>
        </is>
      </c>
      <c r="C15" s="10">
        <f>SUMIFS('Transaction Log'!F:F,'Transaction Log'!E:E,B15,'Transaction Log'!C:C,"Expense",'Transaction Log'!K:K,Settings!B6)</f>
        <v/>
      </c>
      <c r="D15" s="10" t="n">
        <v>2200</v>
      </c>
    </row>
    <row r="16" ht="22" customHeight="1">
      <c r="B16" s="10" t="inlineStr">
        <is>
          <t>Groceries</t>
        </is>
      </c>
      <c r="C16" s="10">
        <f>SUMIFS('Transaction Log'!F:F,'Transaction Log'!E:E,B16,'Transaction Log'!C:C,"Expense",'Transaction Log'!K:K,Settings!B6)</f>
        <v/>
      </c>
      <c r="D16" s="10" t="n">
        <v>750</v>
      </c>
    </row>
    <row r="17" ht="22" customHeight="1">
      <c r="B17" s="10" t="inlineStr">
        <is>
          <t>Dining Out</t>
        </is>
      </c>
      <c r="C17" s="10">
        <f>SUMIFS('Transaction Log'!F:F,'Transaction Log'!E:E,B17,'Transaction Log'!C:C,"Expense",'Transaction Log'!K:K,Settings!B6)</f>
        <v/>
      </c>
      <c r="D17" s="10" t="n">
        <v>400</v>
      </c>
    </row>
    <row r="18" ht="22" customHeight="1">
      <c r="B18" s="10" t="inlineStr">
        <is>
          <t>Internet</t>
        </is>
      </c>
      <c r="C18" s="10">
        <f>SUMIFS('Transaction Log'!F:F,'Transaction Log'!E:E,B18,'Transaction Log'!C:C,"Expense",'Transaction Log'!K:K,Settings!B6)</f>
        <v/>
      </c>
      <c r="D18" s="10" t="n">
        <v>75</v>
      </c>
    </row>
    <row r="19" ht="22" customHeight="1">
      <c r="B19" s="10" t="inlineStr">
        <is>
          <t>Mobile Phone</t>
        </is>
      </c>
      <c r="C19" s="10">
        <f>SUMIFS('Transaction Log'!F:F,'Transaction Log'!E:E,B19,'Transaction Log'!C:C,"Expense",'Transaction Log'!K:K,Settings!B6)</f>
        <v/>
      </c>
      <c r="D19" s="10" t="n">
        <v>120</v>
      </c>
    </row>
    <row r="20" ht="22" customHeight="1">
      <c r="B20" s="10" t="inlineStr">
        <is>
          <t>Electric / Water</t>
        </is>
      </c>
      <c r="C20" s="10">
        <f>SUMIFS('Transaction Log'!F:F,'Transaction Log'!E:E,B20,'Transaction Log'!C:C,"Expense",'Transaction Log'!K:K,Settings!B6)</f>
        <v/>
      </c>
      <c r="D20" s="10" t="n">
        <v>155</v>
      </c>
    </row>
    <row r="21" ht="22" customHeight="1">
      <c r="B21" s="10" t="inlineStr">
        <is>
          <t>Gas</t>
        </is>
      </c>
      <c r="C21" s="10">
        <f>SUMIFS('Transaction Log'!F:F,'Transaction Log'!E:E,B21,'Transaction Log'!C:C,"Expense",'Transaction Log'!K:K,Settings!B6)</f>
        <v/>
      </c>
      <c r="D21" s="10" t="n">
        <v>260</v>
      </c>
    </row>
    <row r="22" ht="22" customHeight="1">
      <c r="B22" s="10" t="inlineStr">
        <is>
          <t>Maintenance</t>
        </is>
      </c>
      <c r="C22" s="10">
        <f>SUMIFS('Transaction Log'!F:F,'Transaction Log'!E:E,B22,'Transaction Log'!C:C,"Expense",'Transaction Log'!K:K,Settings!B6)</f>
        <v/>
      </c>
      <c r="D22" s="10" t="n">
        <v>240</v>
      </c>
    </row>
    <row r="23" ht="22" customHeight="1">
      <c r="B23" s="10" t="inlineStr">
        <is>
          <t>Medical</t>
        </is>
      </c>
      <c r="C23" s="10">
        <f>SUMIFS('Transaction Log'!F:F,'Transaction Log'!E:E,B23,'Transaction Log'!C:C,"Expense",'Transaction Log'!K:K,Settings!B6)</f>
        <v/>
      </c>
      <c r="D23" s="10" t="n">
        <v>250</v>
      </c>
    </row>
    <row r="24" ht="22" customHeight="1">
      <c r="B24" s="10" t="inlineStr">
        <is>
          <t>Fitness</t>
        </is>
      </c>
      <c r="C24" s="10">
        <f>SUMIFS('Transaction Log'!F:F,'Transaction Log'!E:E,B24,'Transaction Log'!C:C,"Expense",'Transaction Log'!K:K,Settings!B6)</f>
        <v/>
      </c>
      <c r="D24" s="10" t="n">
        <v>100</v>
      </c>
    </row>
    <row r="25" ht="22" customHeight="1">
      <c r="B25" s="10" t="inlineStr">
        <is>
          <t>Shopping</t>
        </is>
      </c>
      <c r="C25" s="10">
        <f>SUMIFS('Transaction Log'!F:F,'Transaction Log'!E:E,B25,'Transaction Log'!C:C,"Expense",'Transaction Log'!K:K,Settings!B6)</f>
        <v/>
      </c>
      <c r="D25" s="10" t="n">
        <v>600</v>
      </c>
    </row>
    <row r="26" ht="22" customHeight="1">
      <c r="B26" s="10" t="inlineStr">
        <is>
          <t>Entertainment</t>
        </is>
      </c>
      <c r="C26" s="10">
        <f>SUMIFS('Transaction Log'!F:F,'Transaction Log'!E:E,B26,'Transaction Log'!C:C,"Expense",'Transaction Log'!K:K,Settings!B6)</f>
        <v/>
      </c>
      <c r="D26" s="10" t="n">
        <v>250</v>
      </c>
    </row>
    <row r="27" ht="22" customHeight="1">
      <c r="B27" s="10" t="inlineStr">
        <is>
          <t>Streaming / Software</t>
        </is>
      </c>
      <c r="C27" s="10">
        <f>SUMIFS('Transaction Log'!F:F,'Transaction Log'!E:E,B27,'Transaction Log'!C:C,"Expense",'Transaction Log'!K:K,Settings!B6)</f>
        <v/>
      </c>
      <c r="D27" s="10" t="n">
        <v>180</v>
      </c>
    </row>
    <row r="28" ht="22" customHeight="1">
      <c r="B28" s="10" t="inlineStr">
        <is>
          <t>Books / Courses</t>
        </is>
      </c>
      <c r="C28" s="10">
        <f>SUMIFS('Transaction Log'!F:F,'Transaction Log'!E:E,B28,'Transaction Log'!C:C,"Expense",'Transaction Log'!K:K,Settings!B6)</f>
        <v/>
      </c>
      <c r="D28" s="10" t="n">
        <v>250</v>
      </c>
    </row>
    <row r="29" ht="22" customHeight="1">
      <c r="B29" s="10" t="inlineStr">
        <is>
          <t>Brokerage / Retirement</t>
        </is>
      </c>
      <c r="C29" s="10">
        <f>SUMIFS('Transaction Log'!F:F,'Transaction Log'!E:E,B29,'Transaction Log'!C:C,"Expense",'Transaction Log'!K:K,Settings!B6)</f>
        <v/>
      </c>
      <c r="D29" s="10" t="n">
        <v>2000</v>
      </c>
    </row>
    <row r="30" ht="22" customHeight="1">
      <c r="B30" s="10" t="inlineStr">
        <is>
          <t>Auto Loan</t>
        </is>
      </c>
      <c r="C30" s="10">
        <f>SUMIFS('Transaction Log'!F:F,'Transaction Log'!E:E,B30,'Transaction Log'!C:C,"Expense",'Transaction Log'!K:K,Settings!B6)</f>
        <v/>
      </c>
      <c r="D30" s="10" t="n">
        <v>450</v>
      </c>
    </row>
    <row r="31" ht="22" customHeight="1"/>
    <row r="32" ht="22" customHeight="1"/>
    <row r="33" ht="22" customHeight="1"/>
    <row r="34" ht="22" customHeight="1">
      <c r="B34" s="9" t="inlineStr">
        <is>
          <t>Type</t>
        </is>
      </c>
      <c r="C34" s="9" t="inlineStr">
        <is>
          <t>Amount</t>
        </is>
      </c>
    </row>
    <row r="35" ht="22" customHeight="1">
      <c r="B35" s="10" t="inlineStr">
        <is>
          <t>Needs</t>
        </is>
      </c>
      <c r="C35" s="10">
        <f>SUMIFS('Transaction Log'!F:F,'Transaction Log'!C:C,"Expense",'Transaction Log'!D:D,"Housing",'Transaction Log'!K:K,Settings!B6)+SUMIFS('Transaction Log'!F:F,'Transaction Log'!C:C,"Expense",'Transaction Log'!D:D,"Food",'Transaction Log'!K:K,Settings!B6)+SUMIFS('Transaction Log'!F:F,'Transaction Log'!C:C,"Expense",'Transaction Log'!D:D,"Utilities",'Transaction Log'!K:K,Settings!B6)+SUMIFS('Transaction Log'!F:F,'Transaction Log'!C:C,"Expense",'Transaction Log'!D:D,"Transportation",'Transaction Log'!K:K,Settings!B6)+SUMIFS('Transaction Log'!F:F,'Transaction Log'!C:C,"Expense",'Transaction Log'!D:D,"Health",'Transaction Log'!K:K,Settings!B6)</f>
        <v/>
      </c>
    </row>
    <row r="36" ht="22" customHeight="1">
      <c r="B36" s="10" t="inlineStr">
        <is>
          <t>Wants</t>
        </is>
      </c>
      <c r="C36" s="10">
        <f>SUMIFS('Transaction Log'!F:F,'Transaction Log'!C:C,"Expense",'Transaction Log'!D:D,"Lifestyle",'Transaction Log'!K:K,Settings!B6)+SUMIFS('Transaction Log'!F:F,'Transaction Log'!C:C,"Expense",'Transaction Log'!D:D,"Subscriptions",'Transaction Log'!K:K,Settings!B6)</f>
        <v/>
      </c>
    </row>
    <row r="37" ht="22" customHeight="1">
      <c r="B37" s="10" t="inlineStr">
        <is>
          <t>Investments</t>
        </is>
      </c>
      <c r="C37" s="10">
        <f>SUMIFS('Transaction Log'!F:F,'Transaction Log'!C:C,"Investment",'Transaction Log'!K:K,Settings!B6)</f>
        <v/>
      </c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7">
    <mergeCell ref="B7:D10"/>
    <mergeCell ref="E7:G10"/>
    <mergeCell ref="K7:M10"/>
    <mergeCell ref="B2:R4"/>
    <mergeCell ref="H7:J10"/>
    <mergeCell ref="B5:R5"/>
    <mergeCell ref="N7:P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60" customWidth="1" min="3" max="3"/>
  </cols>
  <sheetData>
    <row r="2">
      <c r="B2" s="11" t="inlineStr">
        <is>
          <t>Settings</t>
        </is>
      </c>
    </row>
    <row r="3">
      <c r="B3" s="12" t="inlineStr">
        <is>
          <t>Global configuration for the embedded finance engine</t>
        </is>
      </c>
    </row>
    <row r="5">
      <c r="A5" s="9" t="inlineStr">
        <is>
          <t>Setting</t>
        </is>
      </c>
      <c r="B5" s="9" t="inlineStr">
        <is>
          <t>Value</t>
        </is>
      </c>
      <c r="C5" s="9" t="inlineStr">
        <is>
          <t>Notes</t>
        </is>
      </c>
    </row>
    <row r="6">
      <c r="A6" s="10" t="inlineStr">
        <is>
          <t>Currency Symbol</t>
        </is>
      </c>
      <c r="B6" s="10" t="inlineStr">
        <is>
          <t>$</t>
        </is>
      </c>
      <c r="C6" s="10" t="inlineStr">
        <is>
          <t>Currency used in labels</t>
        </is>
      </c>
    </row>
    <row r="7">
      <c r="A7" s="10" t="inlineStr">
        <is>
          <t>Dashboard Month</t>
        </is>
      </c>
      <c r="B7" s="10" t="inlineStr">
        <is>
          <t>2026-05</t>
        </is>
      </c>
      <c r="C7" s="10" t="inlineStr">
        <is>
          <t>Use YYYY-MM</t>
        </is>
      </c>
    </row>
    <row r="8">
      <c r="A8" s="10" t="inlineStr">
        <is>
          <t>Monthly Essential Expense Estimate</t>
        </is>
      </c>
      <c r="B8" s="10" t="n">
        <v>5400</v>
      </c>
      <c r="C8" s="10" t="inlineStr">
        <is>
          <t>Used for runway</t>
        </is>
      </c>
    </row>
    <row r="9">
      <c r="A9" s="10" t="inlineStr">
        <is>
          <t>Emergency Fund Target Months</t>
        </is>
      </c>
      <c r="B9" s="10" t="n">
        <v>6</v>
      </c>
      <c r="C9" s="10" t="inlineStr">
        <is>
          <t>Target months</t>
        </is>
      </c>
    </row>
    <row r="10">
      <c r="A10" s="10" t="inlineStr">
        <is>
          <t>Budget Strategy</t>
        </is>
      </c>
      <c r="B10" s="10" t="inlineStr">
        <is>
          <t>Zero-Based</t>
        </is>
      </c>
      <c r="C10" s="10" t="inlineStr">
        <is>
          <t>Zero-Based or Carried Over</t>
        </is>
      </c>
    </row>
    <row r="11">
      <c r="A11" s="10" t="inlineStr">
        <is>
          <t>Theme</t>
        </is>
      </c>
      <c r="B11" s="10" t="inlineStr">
        <is>
          <t>Life OS Mint/Aqua/Lavender</t>
        </is>
      </c>
      <c r="C11" s="10" t="inlineStr">
        <is>
          <t>Matches Notion template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20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2" customWidth="1" min="5" max="5"/>
    <col width="18" customWidth="1" min="6" max="6"/>
    <col width="14" customWidth="1" min="7" max="7"/>
    <col width="12" customWidth="1" min="8" max="8"/>
    <col width="35" customWidth="1" min="9" max="9"/>
  </cols>
  <sheetData>
    <row r="2">
      <c r="B2" s="11" t="inlineStr">
        <is>
          <t>Budget Setup</t>
        </is>
      </c>
    </row>
    <row r="3">
      <c r="B3" s="12" t="inlineStr">
        <is>
          <t>Define category and sub-category limits</t>
        </is>
      </c>
    </row>
    <row r="5">
      <c r="A5" s="9" t="inlineStr">
        <is>
          <t>Category</t>
        </is>
      </c>
      <c r="B5" s="9" t="inlineStr">
        <is>
          <t>Sub-Category</t>
        </is>
      </c>
      <c r="C5" s="9" t="inlineStr">
        <is>
          <t>Group</t>
        </is>
      </c>
      <c r="D5" s="9" t="inlineStr">
        <is>
          <t>Monthly Budget</t>
        </is>
      </c>
      <c r="E5" s="9" t="inlineStr">
        <is>
          <t>Priority</t>
        </is>
      </c>
      <c r="F5" s="9" t="inlineStr">
        <is>
          <t>Warning Threshold</t>
        </is>
      </c>
      <c r="G5" s="9" t="inlineStr">
        <is>
          <t>Hard Limit</t>
        </is>
      </c>
      <c r="H5" s="9" t="inlineStr">
        <is>
          <t>Rollover?</t>
        </is>
      </c>
      <c r="I5" s="9" t="inlineStr">
        <is>
          <t>Notes</t>
        </is>
      </c>
    </row>
    <row r="6">
      <c r="A6" s="10" t="inlineStr">
        <is>
          <t>Housing</t>
        </is>
      </c>
      <c r="B6" s="10" t="inlineStr">
        <is>
          <t>Rent / Mortgage</t>
        </is>
      </c>
      <c r="C6" s="10" t="inlineStr">
        <is>
          <t>Needs</t>
        </is>
      </c>
      <c r="D6" s="13" t="n">
        <v>2200</v>
      </c>
      <c r="E6" s="10" t="inlineStr">
        <is>
          <t>High</t>
        </is>
      </c>
      <c r="F6" s="14" t="n">
        <v>0.9</v>
      </c>
      <c r="G6" s="14" t="n">
        <v>1</v>
      </c>
      <c r="H6" s="10" t="inlineStr">
        <is>
          <t>No</t>
        </is>
      </c>
      <c r="I6" s="10" t="inlineStr">
        <is>
          <t>Primary housing</t>
        </is>
      </c>
    </row>
    <row r="7">
      <c r="A7" s="10" t="inlineStr">
        <is>
          <t>Food</t>
        </is>
      </c>
      <c r="B7" s="10" t="inlineStr">
        <is>
          <t>Groceries</t>
        </is>
      </c>
      <c r="C7" s="10" t="inlineStr">
        <is>
          <t>Needs</t>
        </is>
      </c>
      <c r="D7" s="13" t="n">
        <v>750</v>
      </c>
      <c r="E7" s="10" t="inlineStr">
        <is>
          <t>High</t>
        </is>
      </c>
      <c r="F7" s="14" t="n">
        <v>0.85</v>
      </c>
      <c r="G7" s="14" t="n">
        <v>1</v>
      </c>
      <c r="H7" s="10" t="inlineStr">
        <is>
          <t>No</t>
        </is>
      </c>
      <c r="I7" s="10" t="inlineStr">
        <is>
          <t>Groceries</t>
        </is>
      </c>
    </row>
    <row r="8">
      <c r="A8" s="10" t="inlineStr">
        <is>
          <t>Food</t>
        </is>
      </c>
      <c r="B8" s="10" t="inlineStr">
        <is>
          <t>Dining Out</t>
        </is>
      </c>
      <c r="C8" s="10" t="inlineStr">
        <is>
          <t>Wants</t>
        </is>
      </c>
      <c r="D8" s="13" t="n">
        <v>400</v>
      </c>
      <c r="E8" s="10" t="inlineStr">
        <is>
          <t>Medium</t>
        </is>
      </c>
      <c r="F8" s="14" t="n">
        <v>0.8</v>
      </c>
      <c r="G8" s="14" t="n">
        <v>1</v>
      </c>
      <c r="H8" s="10" t="inlineStr">
        <is>
          <t>No</t>
        </is>
      </c>
      <c r="I8" s="10" t="inlineStr">
        <is>
          <t>Restaurants</t>
        </is>
      </c>
    </row>
    <row r="9">
      <c r="A9" s="10" t="inlineStr">
        <is>
          <t>Utilities</t>
        </is>
      </c>
      <c r="B9" s="10" t="inlineStr">
        <is>
          <t>Internet</t>
        </is>
      </c>
      <c r="C9" s="10" t="inlineStr">
        <is>
          <t>Needs</t>
        </is>
      </c>
      <c r="D9" s="13" t="n">
        <v>75</v>
      </c>
      <c r="E9" s="10" t="inlineStr">
        <is>
          <t>High</t>
        </is>
      </c>
      <c r="F9" s="14" t="n">
        <v>0.85</v>
      </c>
      <c r="G9" s="14" t="n">
        <v>1</v>
      </c>
      <c r="H9" s="10" t="inlineStr">
        <is>
          <t>No</t>
        </is>
      </c>
      <c r="I9" s="10" t="inlineStr">
        <is>
          <t>Internet</t>
        </is>
      </c>
    </row>
    <row r="10">
      <c r="A10" s="10" t="inlineStr">
        <is>
          <t>Utilities</t>
        </is>
      </c>
      <c r="B10" s="10" t="inlineStr">
        <is>
          <t>Mobile Phone</t>
        </is>
      </c>
      <c r="C10" s="10" t="inlineStr">
        <is>
          <t>Needs</t>
        </is>
      </c>
      <c r="D10" s="13" t="n">
        <v>120</v>
      </c>
      <c r="E10" s="10" t="inlineStr">
        <is>
          <t>High</t>
        </is>
      </c>
      <c r="F10" s="14" t="n">
        <v>0.85</v>
      </c>
      <c r="G10" s="14" t="n">
        <v>1</v>
      </c>
      <c r="H10" s="10" t="inlineStr">
        <is>
          <t>No</t>
        </is>
      </c>
      <c r="I10" s="10" t="inlineStr">
        <is>
          <t>Phone</t>
        </is>
      </c>
    </row>
    <row r="11">
      <c r="A11" s="10" t="inlineStr">
        <is>
          <t>Utilities</t>
        </is>
      </c>
      <c r="B11" s="10" t="inlineStr">
        <is>
          <t>Electric / Water</t>
        </is>
      </c>
      <c r="C11" s="10" t="inlineStr">
        <is>
          <t>Needs</t>
        </is>
      </c>
      <c r="D11" s="13" t="n">
        <v>155</v>
      </c>
      <c r="E11" s="10" t="inlineStr">
        <is>
          <t>High</t>
        </is>
      </c>
      <c r="F11" s="14" t="n">
        <v>0.85</v>
      </c>
      <c r="G11" s="14" t="n">
        <v>1</v>
      </c>
      <c r="H11" s="10" t="inlineStr">
        <is>
          <t>No</t>
        </is>
      </c>
      <c r="I11" s="10" t="inlineStr">
        <is>
          <t>Utilities</t>
        </is>
      </c>
    </row>
    <row r="12">
      <c r="A12" s="10" t="inlineStr">
        <is>
          <t>Transportation</t>
        </is>
      </c>
      <c r="B12" s="10" t="inlineStr">
        <is>
          <t>Gas</t>
        </is>
      </c>
      <c r="C12" s="10" t="inlineStr">
        <is>
          <t>Needs</t>
        </is>
      </c>
      <c r="D12" s="13" t="n">
        <v>260</v>
      </c>
      <c r="E12" s="10" t="inlineStr">
        <is>
          <t>Medium</t>
        </is>
      </c>
      <c r="F12" s="14" t="n">
        <v>0.85</v>
      </c>
      <c r="G12" s="14" t="n">
        <v>1</v>
      </c>
      <c r="H12" s="10" t="inlineStr">
        <is>
          <t>No</t>
        </is>
      </c>
      <c r="I12" s="10" t="inlineStr">
        <is>
          <t>Fuel</t>
        </is>
      </c>
    </row>
    <row r="13">
      <c r="A13" s="10" t="inlineStr">
        <is>
          <t>Transportation</t>
        </is>
      </c>
      <c r="B13" s="10" t="inlineStr">
        <is>
          <t>Maintenance</t>
        </is>
      </c>
      <c r="C13" s="10" t="inlineStr">
        <is>
          <t>Needs</t>
        </is>
      </c>
      <c r="D13" s="13" t="n">
        <v>240</v>
      </c>
      <c r="E13" s="10" t="inlineStr">
        <is>
          <t>Medium</t>
        </is>
      </c>
      <c r="F13" s="14" t="n">
        <v>0.85</v>
      </c>
      <c r="G13" s="14" t="n">
        <v>1</v>
      </c>
      <c r="H13" s="10" t="inlineStr">
        <is>
          <t>Yes</t>
        </is>
      </c>
      <c r="I13" s="10" t="inlineStr">
        <is>
          <t>Car maintenance</t>
        </is>
      </c>
    </row>
    <row r="14">
      <c r="A14" s="10" t="inlineStr">
        <is>
          <t>Health</t>
        </is>
      </c>
      <c r="B14" s="10" t="inlineStr">
        <is>
          <t>Medical</t>
        </is>
      </c>
      <c r="C14" s="10" t="inlineStr">
        <is>
          <t>Needs</t>
        </is>
      </c>
      <c r="D14" s="13" t="n">
        <v>250</v>
      </c>
      <c r="E14" s="10" t="inlineStr">
        <is>
          <t>High</t>
        </is>
      </c>
      <c r="F14" s="14" t="n">
        <v>0.85</v>
      </c>
      <c r="G14" s="14" t="n">
        <v>1</v>
      </c>
      <c r="H14" s="10" t="inlineStr">
        <is>
          <t>Yes</t>
        </is>
      </c>
      <c r="I14" s="10" t="inlineStr">
        <is>
          <t>Medical</t>
        </is>
      </c>
    </row>
    <row r="15">
      <c r="A15" s="10" t="inlineStr">
        <is>
          <t>Health</t>
        </is>
      </c>
      <c r="B15" s="10" t="inlineStr">
        <is>
          <t>Fitness</t>
        </is>
      </c>
      <c r="C15" s="10" t="inlineStr">
        <is>
          <t>Needs</t>
        </is>
      </c>
      <c r="D15" s="13" t="n">
        <v>100</v>
      </c>
      <c r="E15" s="10" t="inlineStr">
        <is>
          <t>Medium</t>
        </is>
      </c>
      <c r="F15" s="14" t="n">
        <v>0.85</v>
      </c>
      <c r="G15" s="14" t="n">
        <v>1</v>
      </c>
      <c r="H15" s="10" t="inlineStr">
        <is>
          <t>No</t>
        </is>
      </c>
      <c r="I15" s="10" t="inlineStr">
        <is>
          <t>Gym</t>
        </is>
      </c>
    </row>
    <row r="16">
      <c r="A16" s="10" t="inlineStr">
        <is>
          <t>Lifestyle</t>
        </is>
      </c>
      <c r="B16" s="10" t="inlineStr">
        <is>
          <t>Shopping</t>
        </is>
      </c>
      <c r="C16" s="10" t="inlineStr">
        <is>
          <t>Wants</t>
        </is>
      </c>
      <c r="D16" s="13" t="n">
        <v>600</v>
      </c>
      <c r="E16" s="10" t="inlineStr">
        <is>
          <t>Medium</t>
        </is>
      </c>
      <c r="F16" s="14" t="n">
        <v>0.8</v>
      </c>
      <c r="G16" s="14" t="n">
        <v>1</v>
      </c>
      <c r="H16" s="10" t="inlineStr">
        <is>
          <t>No</t>
        </is>
      </c>
      <c r="I16" s="10" t="inlineStr">
        <is>
          <t>Shopping</t>
        </is>
      </c>
    </row>
    <row r="17">
      <c r="A17" s="10" t="inlineStr">
        <is>
          <t>Lifestyle</t>
        </is>
      </c>
      <c r="B17" s="10" t="inlineStr">
        <is>
          <t>Entertainment</t>
        </is>
      </c>
      <c r="C17" s="10" t="inlineStr">
        <is>
          <t>Wants</t>
        </is>
      </c>
      <c r="D17" s="13" t="n">
        <v>250</v>
      </c>
      <c r="E17" s="10" t="inlineStr">
        <is>
          <t>Low</t>
        </is>
      </c>
      <c r="F17" s="14" t="n">
        <v>0.8</v>
      </c>
      <c r="G17" s="14" t="n">
        <v>1</v>
      </c>
      <c r="H17" s="10" t="inlineStr">
        <is>
          <t>No</t>
        </is>
      </c>
      <c r="I17" s="10" t="inlineStr">
        <is>
          <t>Entertainment</t>
        </is>
      </c>
    </row>
    <row r="18">
      <c r="A18" s="10" t="inlineStr">
        <is>
          <t>Subscriptions</t>
        </is>
      </c>
      <c r="B18" s="10" t="inlineStr">
        <is>
          <t>Streaming / Software</t>
        </is>
      </c>
      <c r="C18" s="10" t="inlineStr">
        <is>
          <t>Wants</t>
        </is>
      </c>
      <c r="D18" s="13" t="n">
        <v>180</v>
      </c>
      <c r="E18" s="10" t="inlineStr">
        <is>
          <t>Medium</t>
        </is>
      </c>
      <c r="F18" s="14" t="n">
        <v>0.8</v>
      </c>
      <c r="G18" s="14" t="n">
        <v>1</v>
      </c>
      <c r="H18" s="10" t="inlineStr">
        <is>
          <t>No</t>
        </is>
      </c>
      <c r="I18" s="10" t="inlineStr">
        <is>
          <t>Subscriptions</t>
        </is>
      </c>
    </row>
    <row r="19">
      <c r="A19" s="10" t="inlineStr">
        <is>
          <t>Learning</t>
        </is>
      </c>
      <c r="B19" s="10" t="inlineStr">
        <is>
          <t>Books / Courses</t>
        </is>
      </c>
      <c r="C19" s="10" t="inlineStr">
        <is>
          <t>Investment</t>
        </is>
      </c>
      <c r="D19" s="13" t="n">
        <v>250</v>
      </c>
      <c r="E19" s="10" t="inlineStr">
        <is>
          <t>Medium</t>
        </is>
      </c>
      <c r="F19" s="14" t="n">
        <v>0.9</v>
      </c>
      <c r="G19" s="14" t="n">
        <v>1</v>
      </c>
      <c r="H19" s="10" t="inlineStr">
        <is>
          <t>Yes</t>
        </is>
      </c>
      <c r="I19" s="10" t="inlineStr">
        <is>
          <t>Learning</t>
        </is>
      </c>
    </row>
    <row r="20">
      <c r="A20" s="10" t="inlineStr">
        <is>
          <t>Investments</t>
        </is>
      </c>
      <c r="B20" s="10" t="inlineStr">
        <is>
          <t>Brokerage / Retirement</t>
        </is>
      </c>
      <c r="C20" s="10" t="inlineStr">
        <is>
          <t>Investment</t>
        </is>
      </c>
      <c r="D20" s="13" t="n">
        <v>2000</v>
      </c>
      <c r="E20" s="10" t="inlineStr">
        <is>
          <t>High</t>
        </is>
      </c>
      <c r="F20" s="14" t="n">
        <v>1</v>
      </c>
      <c r="G20" s="14" t="n">
        <v>1.2</v>
      </c>
      <c r="H20" s="10" t="inlineStr">
        <is>
          <t>No</t>
        </is>
      </c>
      <c r="I20" s="10" t="inlineStr">
        <is>
          <t>Auto investments</t>
        </is>
      </c>
    </row>
    <row r="21">
      <c r="A21" s="10" t="inlineStr">
        <is>
          <t>Debt</t>
        </is>
      </c>
      <c r="B21" s="10" t="inlineStr">
        <is>
          <t>Auto Loan</t>
        </is>
      </c>
      <c r="C21" s="10" t="inlineStr">
        <is>
          <t>Debt</t>
        </is>
      </c>
      <c r="D21" s="13" t="n">
        <v>450</v>
      </c>
      <c r="E21" s="10" t="inlineStr">
        <is>
          <t>High</t>
        </is>
      </c>
      <c r="F21" s="14" t="n">
        <v>0.9</v>
      </c>
      <c r="G21" s="14" t="n">
        <v>1</v>
      </c>
      <c r="H21" s="10" t="inlineStr">
        <is>
          <t>No</t>
        </is>
      </c>
      <c r="I21" s="10" t="inlineStr">
        <is>
          <t>Debt payoff</t>
        </is>
      </c>
    </row>
    <row r="22">
      <c r="D22" s="15" t="n"/>
      <c r="F22" s="16" t="n"/>
      <c r="G22" s="16" t="n"/>
    </row>
    <row r="23">
      <c r="D23" s="15" t="n"/>
      <c r="F23" s="16" t="n"/>
      <c r="G23" s="16" t="n"/>
    </row>
    <row r="24">
      <c r="D24" s="15" t="n"/>
      <c r="F24" s="16" t="n"/>
      <c r="G24" s="16" t="n"/>
    </row>
    <row r="25">
      <c r="D25" s="15" t="n"/>
      <c r="F25" s="16" t="n"/>
      <c r="G25" s="16" t="n"/>
    </row>
    <row r="26">
      <c r="D26" s="15" t="n"/>
      <c r="F26" s="16" t="n"/>
      <c r="G26" s="16" t="n"/>
    </row>
    <row r="27">
      <c r="D27" s="15" t="n"/>
      <c r="F27" s="16" t="n"/>
      <c r="G27" s="16" t="n"/>
    </row>
    <row r="28">
      <c r="D28" s="15" t="n"/>
      <c r="F28" s="16" t="n"/>
      <c r="G28" s="16" t="n"/>
    </row>
    <row r="29">
      <c r="D29" s="15" t="n"/>
      <c r="F29" s="16" t="n"/>
      <c r="G29" s="16" t="n"/>
    </row>
    <row r="30">
      <c r="D30" s="15" t="n"/>
      <c r="F30" s="16" t="n"/>
      <c r="G30" s="16" t="n"/>
    </row>
    <row r="31">
      <c r="D31" s="15" t="n"/>
      <c r="F31" s="16" t="n"/>
      <c r="G31" s="16" t="n"/>
    </row>
    <row r="32">
      <c r="D32" s="15" t="n"/>
      <c r="F32" s="16" t="n"/>
      <c r="G32" s="16" t="n"/>
    </row>
    <row r="33">
      <c r="D33" s="15" t="n"/>
      <c r="F33" s="16" t="n"/>
      <c r="G33" s="16" t="n"/>
    </row>
    <row r="34">
      <c r="D34" s="15" t="n"/>
      <c r="F34" s="16" t="n"/>
      <c r="G34" s="16" t="n"/>
    </row>
    <row r="35">
      <c r="D35" s="15" t="n"/>
      <c r="F35" s="16" t="n"/>
      <c r="G35" s="16" t="n"/>
    </row>
    <row r="36">
      <c r="D36" s="15" t="n"/>
      <c r="F36" s="16" t="n"/>
      <c r="G36" s="16" t="n"/>
    </row>
    <row r="37">
      <c r="D37" s="15" t="n"/>
      <c r="F37" s="16" t="n"/>
      <c r="G37" s="16" t="n"/>
    </row>
    <row r="38">
      <c r="D38" s="15" t="n"/>
      <c r="F38" s="16" t="n"/>
      <c r="G38" s="16" t="n"/>
    </row>
    <row r="39">
      <c r="D39" s="15" t="n"/>
      <c r="F39" s="16" t="n"/>
      <c r="G39" s="16" t="n"/>
    </row>
    <row r="40">
      <c r="D40" s="15" t="n"/>
      <c r="F40" s="16" t="n"/>
      <c r="G40" s="16" t="n"/>
    </row>
    <row r="41">
      <c r="D41" s="15" t="n"/>
      <c r="F41" s="16" t="n"/>
      <c r="G41" s="16" t="n"/>
    </row>
    <row r="42">
      <c r="D42" s="15" t="n"/>
      <c r="F42" s="16" t="n"/>
      <c r="G42" s="16" t="n"/>
    </row>
    <row r="43">
      <c r="D43" s="15" t="n"/>
      <c r="F43" s="16" t="n"/>
      <c r="G43" s="16" t="n"/>
    </row>
    <row r="44">
      <c r="D44" s="15" t="n"/>
      <c r="F44" s="16" t="n"/>
      <c r="G44" s="16" t="n"/>
    </row>
    <row r="45">
      <c r="D45" s="15" t="n"/>
      <c r="F45" s="16" t="n"/>
      <c r="G45" s="16" t="n"/>
    </row>
    <row r="46">
      <c r="D46" s="15" t="n"/>
      <c r="F46" s="16" t="n"/>
      <c r="G46" s="16" t="n"/>
    </row>
    <row r="47">
      <c r="D47" s="15" t="n"/>
      <c r="F47" s="16" t="n"/>
      <c r="G47" s="16" t="n"/>
    </row>
    <row r="48">
      <c r="D48" s="15" t="n"/>
      <c r="F48" s="16" t="n"/>
      <c r="G48" s="16" t="n"/>
    </row>
    <row r="49">
      <c r="D49" s="15" t="n"/>
      <c r="F49" s="16" t="n"/>
      <c r="G49" s="16" t="n"/>
    </row>
    <row r="50">
      <c r="D50" s="15" t="n"/>
      <c r="F50" s="16" t="n"/>
      <c r="G50" s="16" t="n"/>
    </row>
    <row r="51">
      <c r="D51" s="15" t="n"/>
      <c r="F51" s="16" t="n"/>
      <c r="G51" s="16" t="n"/>
    </row>
    <row r="52">
      <c r="D52" s="15" t="n"/>
      <c r="F52" s="16" t="n"/>
      <c r="G52" s="16" t="n"/>
    </row>
    <row r="53">
      <c r="D53" s="15" t="n"/>
      <c r="F53" s="16" t="n"/>
      <c r="G53" s="16" t="n"/>
    </row>
    <row r="54">
      <c r="D54" s="15" t="n"/>
      <c r="F54" s="16" t="n"/>
      <c r="G54" s="16" t="n"/>
    </row>
    <row r="55">
      <c r="D55" s="15" t="n"/>
      <c r="F55" s="16" t="n"/>
      <c r="G55" s="16" t="n"/>
    </row>
    <row r="56">
      <c r="D56" s="15" t="n"/>
      <c r="F56" s="16" t="n"/>
      <c r="G56" s="16" t="n"/>
    </row>
    <row r="57">
      <c r="D57" s="15" t="n"/>
      <c r="F57" s="16" t="n"/>
      <c r="G57" s="16" t="n"/>
    </row>
    <row r="58">
      <c r="D58" s="15" t="n"/>
      <c r="F58" s="16" t="n"/>
      <c r="G58" s="16" t="n"/>
    </row>
    <row r="59">
      <c r="D59" s="15" t="n"/>
      <c r="F59" s="16" t="n"/>
      <c r="G59" s="16" t="n"/>
    </row>
    <row r="60">
      <c r="D60" s="15" t="n"/>
      <c r="F60" s="16" t="n"/>
      <c r="G60" s="16" t="n"/>
    </row>
    <row r="61">
      <c r="D61" s="15" t="n"/>
      <c r="F61" s="16" t="n"/>
      <c r="G61" s="16" t="n"/>
    </row>
    <row r="62">
      <c r="D62" s="15" t="n"/>
      <c r="F62" s="16" t="n"/>
      <c r="G62" s="16" t="n"/>
    </row>
    <row r="63">
      <c r="D63" s="15" t="n"/>
      <c r="F63" s="16" t="n"/>
      <c r="G63" s="16" t="n"/>
    </row>
    <row r="64">
      <c r="D64" s="15" t="n"/>
      <c r="F64" s="16" t="n"/>
      <c r="G64" s="16" t="n"/>
    </row>
    <row r="65">
      <c r="D65" s="15" t="n"/>
      <c r="F65" s="16" t="n"/>
      <c r="G65" s="16" t="n"/>
    </row>
    <row r="66">
      <c r="D66" s="15" t="n"/>
      <c r="F66" s="16" t="n"/>
      <c r="G66" s="16" t="n"/>
    </row>
    <row r="67">
      <c r="D67" s="15" t="n"/>
      <c r="F67" s="16" t="n"/>
      <c r="G67" s="16" t="n"/>
    </row>
    <row r="68">
      <c r="D68" s="15" t="n"/>
      <c r="F68" s="16" t="n"/>
      <c r="G68" s="16" t="n"/>
    </row>
    <row r="69">
      <c r="D69" s="15" t="n"/>
      <c r="F69" s="16" t="n"/>
      <c r="G69" s="16" t="n"/>
    </row>
    <row r="70">
      <c r="D70" s="15" t="n"/>
      <c r="F70" s="16" t="n"/>
      <c r="G70" s="16" t="n"/>
    </row>
    <row r="71">
      <c r="D71" s="15" t="n"/>
      <c r="F71" s="16" t="n"/>
      <c r="G71" s="16" t="n"/>
    </row>
    <row r="72">
      <c r="D72" s="15" t="n"/>
      <c r="F72" s="16" t="n"/>
      <c r="G72" s="16" t="n"/>
    </row>
    <row r="73">
      <c r="D73" s="15" t="n"/>
      <c r="F73" s="16" t="n"/>
      <c r="G73" s="16" t="n"/>
    </row>
    <row r="74">
      <c r="D74" s="15" t="n"/>
      <c r="F74" s="16" t="n"/>
      <c r="G74" s="16" t="n"/>
    </row>
    <row r="75">
      <c r="D75" s="15" t="n"/>
      <c r="F75" s="16" t="n"/>
      <c r="G75" s="16" t="n"/>
    </row>
    <row r="76">
      <c r="D76" s="15" t="n"/>
      <c r="F76" s="16" t="n"/>
      <c r="G76" s="16" t="n"/>
    </row>
    <row r="77">
      <c r="D77" s="15" t="n"/>
      <c r="F77" s="16" t="n"/>
      <c r="G77" s="16" t="n"/>
    </row>
    <row r="78">
      <c r="D78" s="15" t="n"/>
      <c r="F78" s="16" t="n"/>
      <c r="G78" s="16" t="n"/>
    </row>
    <row r="79">
      <c r="D79" s="15" t="n"/>
      <c r="F79" s="16" t="n"/>
      <c r="G79" s="16" t="n"/>
    </row>
    <row r="80">
      <c r="D80" s="15" t="n"/>
      <c r="F80" s="16" t="n"/>
      <c r="G80" s="16" t="n"/>
    </row>
    <row r="81">
      <c r="D81" s="15" t="n"/>
      <c r="F81" s="16" t="n"/>
      <c r="G81" s="16" t="n"/>
    </row>
    <row r="82">
      <c r="D82" s="15" t="n"/>
      <c r="F82" s="16" t="n"/>
      <c r="G82" s="16" t="n"/>
    </row>
    <row r="83">
      <c r="D83" s="15" t="n"/>
      <c r="F83" s="16" t="n"/>
      <c r="G83" s="16" t="n"/>
    </row>
    <row r="84">
      <c r="D84" s="15" t="n"/>
      <c r="F84" s="16" t="n"/>
      <c r="G84" s="16" t="n"/>
    </row>
    <row r="85">
      <c r="D85" s="15" t="n"/>
      <c r="F85" s="16" t="n"/>
      <c r="G85" s="16" t="n"/>
    </row>
    <row r="86">
      <c r="D86" s="15" t="n"/>
      <c r="F86" s="16" t="n"/>
      <c r="G86" s="16" t="n"/>
    </row>
    <row r="87">
      <c r="D87" s="15" t="n"/>
      <c r="F87" s="16" t="n"/>
      <c r="G87" s="16" t="n"/>
    </row>
    <row r="88">
      <c r="D88" s="15" t="n"/>
      <c r="F88" s="16" t="n"/>
      <c r="G88" s="16" t="n"/>
    </row>
    <row r="89">
      <c r="D89" s="15" t="n"/>
      <c r="F89" s="16" t="n"/>
      <c r="G89" s="16" t="n"/>
    </row>
    <row r="90">
      <c r="D90" s="15" t="n"/>
      <c r="F90" s="16" t="n"/>
      <c r="G90" s="16" t="n"/>
    </row>
    <row r="91">
      <c r="D91" s="15" t="n"/>
      <c r="F91" s="16" t="n"/>
      <c r="G91" s="16" t="n"/>
    </row>
    <row r="92">
      <c r="D92" s="15" t="n"/>
      <c r="F92" s="16" t="n"/>
      <c r="G92" s="16" t="n"/>
    </row>
    <row r="93">
      <c r="D93" s="15" t="n"/>
      <c r="F93" s="16" t="n"/>
      <c r="G93" s="16" t="n"/>
    </row>
    <row r="94">
      <c r="D94" s="15" t="n"/>
      <c r="F94" s="16" t="n"/>
      <c r="G94" s="16" t="n"/>
    </row>
    <row r="95">
      <c r="D95" s="15" t="n"/>
      <c r="F95" s="16" t="n"/>
      <c r="G95" s="16" t="n"/>
    </row>
    <row r="96">
      <c r="D96" s="15" t="n"/>
      <c r="F96" s="16" t="n"/>
      <c r="G96" s="16" t="n"/>
    </row>
    <row r="97">
      <c r="D97" s="15" t="n"/>
      <c r="F97" s="16" t="n"/>
      <c r="G97" s="16" t="n"/>
    </row>
    <row r="98">
      <c r="D98" s="15" t="n"/>
      <c r="F98" s="16" t="n"/>
      <c r="G98" s="16" t="n"/>
    </row>
    <row r="99">
      <c r="D99" s="15" t="n"/>
      <c r="F99" s="16" t="n"/>
      <c r="G99" s="16" t="n"/>
    </row>
    <row r="100">
      <c r="D100" s="15" t="n"/>
      <c r="F100" s="16" t="n"/>
      <c r="G100" s="16" t="n"/>
    </row>
    <row r="101">
      <c r="D101" s="15" t="n"/>
      <c r="F101" s="16" t="n"/>
      <c r="G101" s="16" t="n"/>
    </row>
    <row r="102">
      <c r="D102" s="15" t="n"/>
      <c r="F102" s="16" t="n"/>
      <c r="G102" s="16" t="n"/>
    </row>
    <row r="103">
      <c r="D103" s="15" t="n"/>
      <c r="F103" s="16" t="n"/>
      <c r="G103" s="16" t="n"/>
    </row>
    <row r="104">
      <c r="D104" s="15" t="n"/>
      <c r="F104" s="16" t="n"/>
      <c r="G104" s="16" t="n"/>
    </row>
    <row r="105">
      <c r="D105" s="15" t="n"/>
      <c r="F105" s="16" t="n"/>
      <c r="G105" s="16" t="n"/>
    </row>
    <row r="106">
      <c r="D106" s="15" t="n"/>
      <c r="F106" s="16" t="n"/>
      <c r="G106" s="16" t="n"/>
    </row>
    <row r="107">
      <c r="D107" s="15" t="n"/>
      <c r="F107" s="16" t="n"/>
      <c r="G107" s="16" t="n"/>
    </row>
    <row r="108">
      <c r="D108" s="15" t="n"/>
      <c r="F108" s="16" t="n"/>
      <c r="G108" s="16" t="n"/>
    </row>
    <row r="109">
      <c r="D109" s="15" t="n"/>
      <c r="F109" s="16" t="n"/>
      <c r="G109" s="16" t="n"/>
    </row>
    <row r="110">
      <c r="D110" s="15" t="n"/>
      <c r="F110" s="16" t="n"/>
      <c r="G110" s="16" t="n"/>
    </row>
    <row r="111">
      <c r="D111" s="15" t="n"/>
      <c r="F111" s="16" t="n"/>
      <c r="G111" s="16" t="n"/>
    </row>
    <row r="112">
      <c r="D112" s="15" t="n"/>
      <c r="F112" s="16" t="n"/>
      <c r="G112" s="16" t="n"/>
    </row>
    <row r="113">
      <c r="D113" s="15" t="n"/>
      <c r="F113" s="16" t="n"/>
      <c r="G113" s="16" t="n"/>
    </row>
    <row r="114">
      <c r="D114" s="15" t="n"/>
      <c r="F114" s="16" t="n"/>
      <c r="G114" s="16" t="n"/>
    </row>
    <row r="115">
      <c r="D115" s="15" t="n"/>
      <c r="F115" s="16" t="n"/>
      <c r="G115" s="16" t="n"/>
    </row>
    <row r="116">
      <c r="D116" s="15" t="n"/>
      <c r="F116" s="16" t="n"/>
      <c r="G116" s="16" t="n"/>
    </row>
    <row r="117">
      <c r="D117" s="15" t="n"/>
      <c r="F117" s="16" t="n"/>
      <c r="G117" s="16" t="n"/>
    </row>
    <row r="118">
      <c r="D118" s="15" t="n"/>
      <c r="F118" s="16" t="n"/>
      <c r="G118" s="16" t="n"/>
    </row>
    <row r="119">
      <c r="D119" s="15" t="n"/>
      <c r="F119" s="16" t="n"/>
      <c r="G119" s="16" t="n"/>
    </row>
    <row r="120">
      <c r="D120" s="15" t="n"/>
      <c r="F120" s="16" t="n"/>
      <c r="G120" s="16" t="n"/>
    </row>
    <row r="121">
      <c r="D121" s="15" t="n"/>
      <c r="F121" s="16" t="n"/>
      <c r="G121" s="16" t="n"/>
    </row>
    <row r="122">
      <c r="D122" s="15" t="n"/>
      <c r="F122" s="16" t="n"/>
      <c r="G122" s="16" t="n"/>
    </row>
    <row r="123">
      <c r="D123" s="15" t="n"/>
      <c r="F123" s="16" t="n"/>
      <c r="G123" s="16" t="n"/>
    </row>
    <row r="124">
      <c r="D124" s="15" t="n"/>
      <c r="F124" s="16" t="n"/>
      <c r="G124" s="16" t="n"/>
    </row>
    <row r="125">
      <c r="D125" s="15" t="n"/>
      <c r="F125" s="16" t="n"/>
      <c r="G125" s="16" t="n"/>
    </row>
    <row r="126">
      <c r="D126" s="15" t="n"/>
      <c r="F126" s="16" t="n"/>
      <c r="G126" s="16" t="n"/>
    </row>
    <row r="127">
      <c r="D127" s="15" t="n"/>
      <c r="F127" s="16" t="n"/>
      <c r="G127" s="16" t="n"/>
    </row>
    <row r="128">
      <c r="D128" s="15" t="n"/>
      <c r="F128" s="16" t="n"/>
      <c r="G128" s="16" t="n"/>
    </row>
    <row r="129">
      <c r="D129" s="15" t="n"/>
      <c r="F129" s="16" t="n"/>
      <c r="G129" s="16" t="n"/>
    </row>
    <row r="130">
      <c r="D130" s="15" t="n"/>
      <c r="F130" s="16" t="n"/>
      <c r="G130" s="16" t="n"/>
    </row>
    <row r="131">
      <c r="D131" s="15" t="n"/>
      <c r="F131" s="16" t="n"/>
      <c r="G131" s="16" t="n"/>
    </row>
    <row r="132">
      <c r="D132" s="15" t="n"/>
      <c r="F132" s="16" t="n"/>
      <c r="G132" s="16" t="n"/>
    </row>
    <row r="133">
      <c r="D133" s="15" t="n"/>
      <c r="F133" s="16" t="n"/>
      <c r="G133" s="16" t="n"/>
    </row>
    <row r="134">
      <c r="D134" s="15" t="n"/>
      <c r="F134" s="16" t="n"/>
      <c r="G134" s="16" t="n"/>
    </row>
    <row r="135">
      <c r="D135" s="15" t="n"/>
      <c r="F135" s="16" t="n"/>
      <c r="G135" s="16" t="n"/>
    </row>
    <row r="136">
      <c r="D136" s="15" t="n"/>
      <c r="F136" s="16" t="n"/>
      <c r="G136" s="16" t="n"/>
    </row>
    <row r="137">
      <c r="D137" s="15" t="n"/>
      <c r="F137" s="16" t="n"/>
      <c r="G137" s="16" t="n"/>
    </row>
    <row r="138">
      <c r="D138" s="15" t="n"/>
      <c r="F138" s="16" t="n"/>
      <c r="G138" s="16" t="n"/>
    </row>
    <row r="139">
      <c r="D139" s="15" t="n"/>
      <c r="F139" s="16" t="n"/>
      <c r="G139" s="16" t="n"/>
    </row>
    <row r="140">
      <c r="D140" s="15" t="n"/>
      <c r="F140" s="16" t="n"/>
      <c r="G140" s="16" t="n"/>
    </row>
    <row r="141">
      <c r="D141" s="15" t="n"/>
      <c r="F141" s="16" t="n"/>
      <c r="G141" s="16" t="n"/>
    </row>
    <row r="142">
      <c r="D142" s="15" t="n"/>
      <c r="F142" s="16" t="n"/>
      <c r="G142" s="16" t="n"/>
    </row>
    <row r="143">
      <c r="D143" s="15" t="n"/>
      <c r="F143" s="16" t="n"/>
      <c r="G143" s="16" t="n"/>
    </row>
    <row r="144">
      <c r="D144" s="15" t="n"/>
      <c r="F144" s="16" t="n"/>
      <c r="G144" s="16" t="n"/>
    </row>
    <row r="145">
      <c r="D145" s="15" t="n"/>
      <c r="F145" s="16" t="n"/>
      <c r="G145" s="16" t="n"/>
    </row>
    <row r="146">
      <c r="D146" s="15" t="n"/>
      <c r="F146" s="16" t="n"/>
      <c r="G146" s="16" t="n"/>
    </row>
    <row r="147">
      <c r="D147" s="15" t="n"/>
      <c r="F147" s="16" t="n"/>
      <c r="G147" s="16" t="n"/>
    </row>
    <row r="148">
      <c r="D148" s="15" t="n"/>
      <c r="F148" s="16" t="n"/>
      <c r="G148" s="16" t="n"/>
    </row>
    <row r="149">
      <c r="D149" s="15" t="n"/>
      <c r="F149" s="16" t="n"/>
      <c r="G149" s="16" t="n"/>
    </row>
    <row r="150">
      <c r="D150" s="15" t="n"/>
      <c r="F150" s="16" t="n"/>
      <c r="G150" s="16" t="n"/>
    </row>
    <row r="151">
      <c r="D151" s="15" t="n"/>
      <c r="F151" s="16" t="n"/>
      <c r="G151" s="16" t="n"/>
    </row>
    <row r="152">
      <c r="D152" s="15" t="n"/>
      <c r="F152" s="16" t="n"/>
      <c r="G152" s="16" t="n"/>
    </row>
    <row r="153">
      <c r="D153" s="15" t="n"/>
      <c r="F153" s="16" t="n"/>
      <c r="G153" s="16" t="n"/>
    </row>
    <row r="154">
      <c r="D154" s="15" t="n"/>
      <c r="F154" s="16" t="n"/>
      <c r="G154" s="16" t="n"/>
    </row>
    <row r="155">
      <c r="D155" s="15" t="n"/>
      <c r="F155" s="16" t="n"/>
      <c r="G155" s="16" t="n"/>
    </row>
    <row r="156">
      <c r="D156" s="15" t="n"/>
      <c r="F156" s="16" t="n"/>
      <c r="G156" s="16" t="n"/>
    </row>
    <row r="157">
      <c r="D157" s="15" t="n"/>
      <c r="F157" s="16" t="n"/>
      <c r="G157" s="16" t="n"/>
    </row>
    <row r="158">
      <c r="D158" s="15" t="n"/>
      <c r="F158" s="16" t="n"/>
      <c r="G158" s="16" t="n"/>
    </row>
    <row r="159">
      <c r="D159" s="15" t="n"/>
      <c r="F159" s="16" t="n"/>
      <c r="G159" s="16" t="n"/>
    </row>
    <row r="160">
      <c r="D160" s="15" t="n"/>
      <c r="F160" s="16" t="n"/>
      <c r="G160" s="16" t="n"/>
    </row>
    <row r="161">
      <c r="D161" s="15" t="n"/>
      <c r="F161" s="16" t="n"/>
      <c r="G161" s="16" t="n"/>
    </row>
    <row r="162">
      <c r="D162" s="15" t="n"/>
      <c r="F162" s="16" t="n"/>
      <c r="G162" s="16" t="n"/>
    </row>
    <row r="163">
      <c r="D163" s="15" t="n"/>
      <c r="F163" s="16" t="n"/>
      <c r="G163" s="16" t="n"/>
    </row>
    <row r="164">
      <c r="D164" s="15" t="n"/>
      <c r="F164" s="16" t="n"/>
      <c r="G164" s="16" t="n"/>
    </row>
    <row r="165">
      <c r="D165" s="15" t="n"/>
      <c r="F165" s="16" t="n"/>
      <c r="G165" s="16" t="n"/>
    </row>
    <row r="166">
      <c r="D166" s="15" t="n"/>
      <c r="F166" s="16" t="n"/>
      <c r="G166" s="16" t="n"/>
    </row>
    <row r="167">
      <c r="D167" s="15" t="n"/>
      <c r="F167" s="16" t="n"/>
      <c r="G167" s="16" t="n"/>
    </row>
    <row r="168">
      <c r="D168" s="15" t="n"/>
      <c r="F168" s="16" t="n"/>
      <c r="G168" s="16" t="n"/>
    </row>
    <row r="169">
      <c r="D169" s="15" t="n"/>
      <c r="F169" s="16" t="n"/>
      <c r="G169" s="16" t="n"/>
    </row>
    <row r="170">
      <c r="D170" s="15" t="n"/>
      <c r="F170" s="16" t="n"/>
      <c r="G170" s="16" t="n"/>
    </row>
    <row r="171">
      <c r="D171" s="15" t="n"/>
      <c r="F171" s="16" t="n"/>
      <c r="G171" s="16" t="n"/>
    </row>
    <row r="172">
      <c r="D172" s="15" t="n"/>
      <c r="F172" s="16" t="n"/>
      <c r="G172" s="16" t="n"/>
    </row>
    <row r="173">
      <c r="D173" s="15" t="n"/>
      <c r="F173" s="16" t="n"/>
      <c r="G173" s="16" t="n"/>
    </row>
    <row r="174">
      <c r="D174" s="15" t="n"/>
      <c r="F174" s="16" t="n"/>
      <c r="G174" s="16" t="n"/>
    </row>
    <row r="175">
      <c r="D175" s="15" t="n"/>
      <c r="F175" s="16" t="n"/>
      <c r="G175" s="16" t="n"/>
    </row>
    <row r="176">
      <c r="D176" s="15" t="n"/>
      <c r="F176" s="16" t="n"/>
      <c r="G176" s="16" t="n"/>
    </row>
    <row r="177">
      <c r="D177" s="15" t="n"/>
      <c r="F177" s="16" t="n"/>
      <c r="G177" s="16" t="n"/>
    </row>
    <row r="178">
      <c r="D178" s="15" t="n"/>
      <c r="F178" s="16" t="n"/>
      <c r="G178" s="16" t="n"/>
    </row>
    <row r="179">
      <c r="D179" s="15" t="n"/>
      <c r="F179" s="16" t="n"/>
      <c r="G179" s="16" t="n"/>
    </row>
    <row r="180">
      <c r="D180" s="15" t="n"/>
      <c r="F180" s="16" t="n"/>
      <c r="G180" s="16" t="n"/>
    </row>
    <row r="181">
      <c r="D181" s="15" t="n"/>
      <c r="F181" s="16" t="n"/>
      <c r="G181" s="16" t="n"/>
    </row>
    <row r="182">
      <c r="D182" s="15" t="n"/>
      <c r="F182" s="16" t="n"/>
      <c r="G182" s="16" t="n"/>
    </row>
    <row r="183">
      <c r="D183" s="15" t="n"/>
      <c r="F183" s="16" t="n"/>
      <c r="G183" s="16" t="n"/>
    </row>
    <row r="184">
      <c r="D184" s="15" t="n"/>
      <c r="F184" s="16" t="n"/>
      <c r="G184" s="16" t="n"/>
    </row>
    <row r="185">
      <c r="D185" s="15" t="n"/>
      <c r="F185" s="16" t="n"/>
      <c r="G185" s="16" t="n"/>
    </row>
    <row r="186">
      <c r="D186" s="15" t="n"/>
      <c r="F186" s="16" t="n"/>
      <c r="G186" s="16" t="n"/>
    </row>
    <row r="187">
      <c r="D187" s="15" t="n"/>
      <c r="F187" s="16" t="n"/>
      <c r="G187" s="16" t="n"/>
    </row>
    <row r="188">
      <c r="D188" s="15" t="n"/>
      <c r="F188" s="16" t="n"/>
      <c r="G188" s="16" t="n"/>
    </row>
    <row r="189">
      <c r="D189" s="15" t="n"/>
      <c r="F189" s="16" t="n"/>
      <c r="G189" s="16" t="n"/>
    </row>
    <row r="190">
      <c r="D190" s="15" t="n"/>
      <c r="F190" s="16" t="n"/>
      <c r="G190" s="16" t="n"/>
    </row>
    <row r="191">
      <c r="D191" s="15" t="n"/>
      <c r="F191" s="16" t="n"/>
      <c r="G191" s="16" t="n"/>
    </row>
    <row r="192">
      <c r="D192" s="15" t="n"/>
      <c r="F192" s="16" t="n"/>
      <c r="G192" s="16" t="n"/>
    </row>
    <row r="193">
      <c r="D193" s="15" t="n"/>
      <c r="F193" s="16" t="n"/>
      <c r="G193" s="16" t="n"/>
    </row>
    <row r="194">
      <c r="D194" s="15" t="n"/>
      <c r="F194" s="16" t="n"/>
      <c r="G194" s="16" t="n"/>
    </row>
    <row r="195">
      <c r="D195" s="15" t="n"/>
      <c r="F195" s="16" t="n"/>
      <c r="G195" s="16" t="n"/>
    </row>
    <row r="196">
      <c r="D196" s="15" t="n"/>
      <c r="F196" s="16" t="n"/>
      <c r="G196" s="16" t="n"/>
    </row>
    <row r="197">
      <c r="D197" s="15" t="n"/>
      <c r="F197" s="16" t="n"/>
      <c r="G197" s="16" t="n"/>
    </row>
    <row r="198">
      <c r="D198" s="15" t="n"/>
      <c r="F198" s="16" t="n"/>
      <c r="G198" s="16" t="n"/>
    </row>
    <row r="199">
      <c r="D199" s="15" t="n"/>
      <c r="F199" s="16" t="n"/>
      <c r="G199" s="16" t="n"/>
    </row>
    <row r="200">
      <c r="D200" s="15" t="n"/>
      <c r="F200" s="16" t="n"/>
      <c r="G200" s="1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5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8" customWidth="1" min="4" max="4"/>
    <col width="24" customWidth="1" min="5" max="5"/>
    <col width="14" customWidth="1" min="6" max="6"/>
    <col width="26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35" customWidth="1" min="13" max="13"/>
  </cols>
  <sheetData>
    <row r="2">
      <c r="B2" s="11" t="inlineStr">
        <is>
          <t>Recurring Transactions</t>
        </is>
      </c>
    </row>
    <row r="3">
      <c r="B3" s="12" t="inlineStr">
        <is>
          <t>Configure repeating income, bills, subscriptions, debt payments and investments once</t>
        </is>
      </c>
    </row>
    <row r="5">
      <c r="A5" s="9" t="inlineStr">
        <is>
          <t>Active?</t>
        </is>
      </c>
      <c r="B5" s="9" t="inlineStr">
        <is>
          <t>Name</t>
        </is>
      </c>
      <c r="C5" s="9" t="inlineStr">
        <is>
          <t>Type</t>
        </is>
      </c>
      <c r="D5" s="9" t="inlineStr">
        <is>
          <t>Category</t>
        </is>
      </c>
      <c r="E5" s="9" t="inlineStr">
        <is>
          <t>Sub-Category</t>
        </is>
      </c>
      <c r="F5" s="9" t="inlineStr">
        <is>
          <t>Amount</t>
        </is>
      </c>
      <c r="G5" s="9" t="inlineStr">
        <is>
          <t>Account</t>
        </is>
      </c>
      <c r="H5" s="9" t="inlineStr">
        <is>
          <t>Frequency</t>
        </is>
      </c>
      <c r="I5" s="9" t="inlineStr">
        <is>
          <t>Next Date</t>
        </is>
      </c>
      <c r="J5" s="9" t="inlineStr">
        <is>
          <t>Day of Month</t>
        </is>
      </c>
      <c r="K5" s="9" t="inlineStr">
        <is>
          <t>Auto-Post?</t>
        </is>
      </c>
      <c r="L5" s="9" t="inlineStr">
        <is>
          <t>Status</t>
        </is>
      </c>
      <c r="M5" s="9" t="inlineStr">
        <is>
          <t>Notes</t>
        </is>
      </c>
    </row>
    <row r="6">
      <c r="A6" s="10" t="inlineStr">
        <is>
          <t>Yes</t>
        </is>
      </c>
      <c r="B6" s="10" t="inlineStr">
        <is>
          <t>Biweekly Paycheck</t>
        </is>
      </c>
      <c r="C6" s="10" t="inlineStr">
        <is>
          <t>Income</t>
        </is>
      </c>
      <c r="D6" s="10" t="inlineStr">
        <is>
          <t>Income</t>
        </is>
      </c>
      <c r="E6" s="10" t="inlineStr">
        <is>
          <t>Salary</t>
        </is>
      </c>
      <c r="F6" s="13" t="n">
        <v>5200</v>
      </c>
      <c r="G6" s="10" t="inlineStr">
        <is>
          <t>Chase Checking</t>
        </is>
      </c>
      <c r="H6" s="10" t="inlineStr">
        <is>
          <t>Biweekly</t>
        </is>
      </c>
      <c r="I6" s="10" t="inlineStr">
        <is>
          <t>2026-05-15</t>
        </is>
      </c>
      <c r="J6" s="10" t="n">
        <v>15</v>
      </c>
      <c r="K6" s="10" t="inlineStr">
        <is>
          <t>Yes</t>
        </is>
      </c>
      <c r="L6" s="10" t="inlineStr">
        <is>
          <t>Planned</t>
        </is>
      </c>
      <c r="M6" s="10" t="inlineStr">
        <is>
          <t>Primary salary</t>
        </is>
      </c>
    </row>
    <row r="7">
      <c r="A7" s="10" t="inlineStr">
        <is>
          <t>Yes</t>
        </is>
      </c>
      <c r="B7" s="10" t="inlineStr">
        <is>
          <t>Rent Payment</t>
        </is>
      </c>
      <c r="C7" s="10" t="inlineStr">
        <is>
          <t>Expense</t>
        </is>
      </c>
      <c r="D7" s="10" t="inlineStr">
        <is>
          <t>Housing</t>
        </is>
      </c>
      <c r="E7" s="10" t="inlineStr">
        <is>
          <t>Rent / Mortgage</t>
        </is>
      </c>
      <c r="F7" s="13" t="n">
        <v>2200</v>
      </c>
      <c r="G7" s="10" t="inlineStr">
        <is>
          <t>Chase Checking</t>
        </is>
      </c>
      <c r="H7" s="10" t="inlineStr">
        <is>
          <t>Monthly</t>
        </is>
      </c>
      <c r="I7" s="10" t="inlineStr">
        <is>
          <t>2026-05-01</t>
        </is>
      </c>
      <c r="J7" s="10" t="n">
        <v>1</v>
      </c>
      <c r="K7" s="10" t="inlineStr">
        <is>
          <t>Yes</t>
        </is>
      </c>
      <c r="L7" s="10" t="inlineStr">
        <is>
          <t>Paid</t>
        </is>
      </c>
      <c r="M7" s="10" t="inlineStr">
        <is>
          <t>Rent</t>
        </is>
      </c>
    </row>
    <row r="8">
      <c r="A8" s="10" t="inlineStr">
        <is>
          <t>Yes</t>
        </is>
      </c>
      <c r="B8" s="10" t="inlineStr">
        <is>
          <t>Internet Bill</t>
        </is>
      </c>
      <c r="C8" s="10" t="inlineStr">
        <is>
          <t>Expense</t>
        </is>
      </c>
      <c r="D8" s="10" t="inlineStr">
        <is>
          <t>Utilities</t>
        </is>
      </c>
      <c r="E8" s="10" t="inlineStr">
        <is>
          <t>Internet</t>
        </is>
      </c>
      <c r="F8" s="13" t="n">
        <v>75</v>
      </c>
      <c r="G8" s="10" t="inlineStr">
        <is>
          <t>Chase Freedom Credit Card</t>
        </is>
      </c>
      <c r="H8" s="10" t="inlineStr">
        <is>
          <t>Monthly</t>
        </is>
      </c>
      <c r="I8" s="10" t="inlineStr">
        <is>
          <t>2026-05-08</t>
        </is>
      </c>
      <c r="J8" s="10" t="n">
        <v>8</v>
      </c>
      <c r="K8" s="10" t="inlineStr">
        <is>
          <t>Yes</t>
        </is>
      </c>
      <c r="L8" s="10" t="inlineStr">
        <is>
          <t>Paid</t>
        </is>
      </c>
      <c r="M8" s="10" t="inlineStr">
        <is>
          <t>Internet</t>
        </is>
      </c>
    </row>
    <row r="9">
      <c r="A9" s="10" t="inlineStr">
        <is>
          <t>Yes</t>
        </is>
      </c>
      <c r="B9" s="10" t="inlineStr">
        <is>
          <t>Mobile Phone Plan</t>
        </is>
      </c>
      <c r="C9" s="10" t="inlineStr">
        <is>
          <t>Expense</t>
        </is>
      </c>
      <c r="D9" s="10" t="inlineStr">
        <is>
          <t>Utilities</t>
        </is>
      </c>
      <c r="E9" s="10" t="inlineStr">
        <is>
          <t>Mobile Phone</t>
        </is>
      </c>
      <c r="F9" s="13" t="n">
        <v>120</v>
      </c>
      <c r="G9" s="10" t="inlineStr">
        <is>
          <t>Amex Blue Cash Card</t>
        </is>
      </c>
      <c r="H9" s="10" t="inlineStr">
        <is>
          <t>Monthly</t>
        </is>
      </c>
      <c r="I9" s="10" t="inlineStr">
        <is>
          <t>2026-05-12</t>
        </is>
      </c>
      <c r="J9" s="10" t="n">
        <v>12</v>
      </c>
      <c r="K9" s="10" t="inlineStr">
        <is>
          <t>Yes</t>
        </is>
      </c>
      <c r="L9" s="10" t="inlineStr">
        <is>
          <t>Paid</t>
        </is>
      </c>
      <c r="M9" s="10" t="inlineStr">
        <is>
          <t>Phone</t>
        </is>
      </c>
    </row>
    <row r="10">
      <c r="A10" s="10" t="inlineStr">
        <is>
          <t>Yes</t>
        </is>
      </c>
      <c r="B10" s="10" t="inlineStr">
        <is>
          <t>Streaming Bundle</t>
        </is>
      </c>
      <c r="C10" s="10" t="inlineStr">
        <is>
          <t>Expense</t>
        </is>
      </c>
      <c r="D10" s="10" t="inlineStr">
        <is>
          <t>Subscriptions</t>
        </is>
      </c>
      <c r="E10" s="10" t="inlineStr">
        <is>
          <t>Streaming / Software</t>
        </is>
      </c>
      <c r="F10" s="13" t="n">
        <v>58</v>
      </c>
      <c r="G10" s="10" t="inlineStr">
        <is>
          <t>Amex Blue Cash Card</t>
        </is>
      </c>
      <c r="H10" s="10" t="inlineStr">
        <is>
          <t>Monthly</t>
        </is>
      </c>
      <c r="I10" s="10" t="inlineStr">
        <is>
          <t>2026-05-15</t>
        </is>
      </c>
      <c r="J10" s="10" t="n">
        <v>15</v>
      </c>
      <c r="K10" s="10" t="inlineStr">
        <is>
          <t>Yes</t>
        </is>
      </c>
      <c r="L10" s="10" t="inlineStr">
        <is>
          <t>Paid</t>
        </is>
      </c>
      <c r="M10" s="10" t="inlineStr">
        <is>
          <t>Streaming</t>
        </is>
      </c>
    </row>
    <row r="11">
      <c r="A11" s="10" t="inlineStr">
        <is>
          <t>Yes</t>
        </is>
      </c>
      <c r="B11" s="10" t="inlineStr">
        <is>
          <t>Brokerage Auto-Invest</t>
        </is>
      </c>
      <c r="C11" s="10" t="inlineStr">
        <is>
          <t>Investment</t>
        </is>
      </c>
      <c r="D11" s="10" t="inlineStr">
        <is>
          <t>Investments</t>
        </is>
      </c>
      <c r="E11" s="10" t="inlineStr">
        <is>
          <t>Brokerage / Retirement</t>
        </is>
      </c>
      <c r="F11" s="13" t="n">
        <v>1000</v>
      </c>
      <c r="G11" s="10" t="inlineStr">
        <is>
          <t>Chase Checking</t>
        </is>
      </c>
      <c r="H11" s="10" t="inlineStr">
        <is>
          <t>Monthly</t>
        </is>
      </c>
      <c r="I11" s="10" t="inlineStr">
        <is>
          <t>2026-05-05</t>
        </is>
      </c>
      <c r="J11" s="10" t="n">
        <v>5</v>
      </c>
      <c r="K11" s="10" t="inlineStr">
        <is>
          <t>Yes</t>
        </is>
      </c>
      <c r="L11" s="10" t="inlineStr">
        <is>
          <t>Paid</t>
        </is>
      </c>
      <c r="M11" s="10" t="inlineStr">
        <is>
          <t>Brokerage</t>
        </is>
      </c>
    </row>
    <row r="12">
      <c r="A12" s="10" t="inlineStr">
        <is>
          <t>Yes</t>
        </is>
      </c>
      <c r="B12" s="10" t="inlineStr">
        <is>
          <t>Roth IRA Contribution</t>
        </is>
      </c>
      <c r="C12" s="10" t="inlineStr">
        <is>
          <t>Investment</t>
        </is>
      </c>
      <c r="D12" s="10" t="inlineStr">
        <is>
          <t>Investments</t>
        </is>
      </c>
      <c r="E12" s="10" t="inlineStr">
        <is>
          <t>Brokerage / Retirement</t>
        </is>
      </c>
      <c r="F12" s="13" t="n">
        <v>500</v>
      </c>
      <c r="G12" s="10" t="inlineStr">
        <is>
          <t>Chase Checking</t>
        </is>
      </c>
      <c r="H12" s="10" t="inlineStr">
        <is>
          <t>Monthly</t>
        </is>
      </c>
      <c r="I12" s="10" t="inlineStr">
        <is>
          <t>2026-05-05</t>
        </is>
      </c>
      <c r="J12" s="10" t="n">
        <v>5</v>
      </c>
      <c r="K12" s="10" t="inlineStr">
        <is>
          <t>Yes</t>
        </is>
      </c>
      <c r="L12" s="10" t="inlineStr">
        <is>
          <t>Paid</t>
        </is>
      </c>
      <c r="M12" s="10" t="inlineStr">
        <is>
          <t>Roth IRA</t>
        </is>
      </c>
    </row>
    <row r="13">
      <c r="A13" s="10" t="inlineStr">
        <is>
          <t>Yes</t>
        </is>
      </c>
      <c r="B13" s="10" t="inlineStr">
        <is>
          <t>Car Loan Payment</t>
        </is>
      </c>
      <c r="C13" s="10" t="inlineStr">
        <is>
          <t>Debt Payment</t>
        </is>
      </c>
      <c r="D13" s="10" t="inlineStr">
        <is>
          <t>Debt</t>
        </is>
      </c>
      <c r="E13" s="10" t="inlineStr">
        <is>
          <t>Auto Loan</t>
        </is>
      </c>
      <c r="F13" s="13" t="n">
        <v>450</v>
      </c>
      <c r="G13" s="10" t="inlineStr">
        <is>
          <t>Chase Checking</t>
        </is>
      </c>
      <c r="H13" s="10" t="inlineStr">
        <is>
          <t>Monthly</t>
        </is>
      </c>
      <c r="I13" s="10" t="inlineStr">
        <is>
          <t>2026-05-18</t>
        </is>
      </c>
      <c r="J13" s="10" t="n">
        <v>18</v>
      </c>
      <c r="K13" s="10" t="inlineStr">
        <is>
          <t>Yes</t>
        </is>
      </c>
      <c r="L13" s="10" t="inlineStr">
        <is>
          <t>Pending</t>
        </is>
      </c>
      <c r="M13" s="10" t="inlineStr">
        <is>
          <t>Debt payoff</t>
        </is>
      </c>
    </row>
    <row r="14">
      <c r="F14" s="15" t="n"/>
    </row>
    <row r="15">
      <c r="F15" s="15" t="n"/>
    </row>
    <row r="16">
      <c r="F16" s="15" t="n"/>
    </row>
    <row r="17">
      <c r="F17" s="15" t="n"/>
    </row>
    <row r="18">
      <c r="F18" s="15" t="n"/>
    </row>
    <row r="19">
      <c r="F19" s="15" t="n"/>
    </row>
    <row r="20">
      <c r="F20" s="15" t="n"/>
    </row>
    <row r="21">
      <c r="F21" s="15" t="n"/>
    </row>
    <row r="22">
      <c r="F22" s="15" t="n"/>
    </row>
    <row r="23">
      <c r="F23" s="15" t="n"/>
    </row>
    <row r="24">
      <c r="F24" s="15" t="n"/>
    </row>
    <row r="25">
      <c r="F25" s="15" t="n"/>
    </row>
    <row r="26">
      <c r="F26" s="15" t="n"/>
    </row>
    <row r="27">
      <c r="F27" s="15" t="n"/>
    </row>
    <row r="28">
      <c r="F28" s="15" t="n"/>
    </row>
    <row r="29">
      <c r="F29" s="15" t="n"/>
    </row>
    <row r="30">
      <c r="F30" s="15" t="n"/>
    </row>
    <row r="31">
      <c r="F31" s="15" t="n"/>
    </row>
    <row r="32">
      <c r="F32" s="15" t="n"/>
    </row>
    <row r="33">
      <c r="F33" s="15" t="n"/>
    </row>
    <row r="34">
      <c r="F34" s="15" t="n"/>
    </row>
    <row r="35">
      <c r="F35" s="15" t="n"/>
    </row>
    <row r="36">
      <c r="F36" s="15" t="n"/>
    </row>
    <row r="37">
      <c r="F37" s="15" t="n"/>
    </row>
    <row r="38">
      <c r="F38" s="15" t="n"/>
    </row>
    <row r="39">
      <c r="F39" s="15" t="n"/>
    </row>
    <row r="40">
      <c r="F40" s="15" t="n"/>
    </row>
    <row r="41">
      <c r="F41" s="15" t="n"/>
    </row>
    <row r="42">
      <c r="F42" s="15" t="n"/>
    </row>
    <row r="43">
      <c r="F43" s="15" t="n"/>
    </row>
    <row r="44">
      <c r="F44" s="15" t="n"/>
    </row>
    <row r="45">
      <c r="F45" s="15" t="n"/>
    </row>
    <row r="46">
      <c r="F46" s="15" t="n"/>
    </row>
    <row r="47">
      <c r="F47" s="15" t="n"/>
    </row>
    <row r="48">
      <c r="F48" s="15" t="n"/>
    </row>
    <row r="49">
      <c r="F49" s="15" t="n"/>
    </row>
    <row r="50">
      <c r="F50" s="15" t="n"/>
    </row>
    <row r="51">
      <c r="F51" s="15" t="n"/>
    </row>
    <row r="52">
      <c r="F52" s="15" t="n"/>
    </row>
    <row r="53">
      <c r="F53" s="15" t="n"/>
    </row>
    <row r="54">
      <c r="F54" s="15" t="n"/>
    </row>
    <row r="55">
      <c r="F55" s="15" t="n"/>
    </row>
    <row r="56">
      <c r="F56" s="15" t="n"/>
    </row>
    <row r="57">
      <c r="F57" s="15" t="n"/>
    </row>
    <row r="58">
      <c r="F58" s="15" t="n"/>
    </row>
    <row r="59">
      <c r="F59" s="15" t="n"/>
    </row>
    <row r="60">
      <c r="F60" s="15" t="n"/>
    </row>
    <row r="61">
      <c r="F61" s="15" t="n"/>
    </row>
    <row r="62">
      <c r="F62" s="15" t="n"/>
    </row>
    <row r="63">
      <c r="F63" s="15" t="n"/>
    </row>
    <row r="64">
      <c r="F64" s="15" t="n"/>
    </row>
    <row r="65">
      <c r="F65" s="15" t="n"/>
    </row>
    <row r="66">
      <c r="F66" s="15" t="n"/>
    </row>
    <row r="67">
      <c r="F67" s="15" t="n"/>
    </row>
    <row r="68">
      <c r="F68" s="15" t="n"/>
    </row>
    <row r="69">
      <c r="F69" s="15" t="n"/>
    </row>
    <row r="70">
      <c r="F70" s="15" t="n"/>
    </row>
    <row r="71">
      <c r="F71" s="15" t="n"/>
    </row>
    <row r="72">
      <c r="F72" s="15" t="n"/>
    </row>
    <row r="73">
      <c r="F73" s="15" t="n"/>
    </row>
    <row r="74">
      <c r="F74" s="15" t="n"/>
    </row>
    <row r="75">
      <c r="F75" s="15" t="n"/>
    </row>
    <row r="76">
      <c r="F76" s="15" t="n"/>
    </row>
    <row r="77">
      <c r="F77" s="15" t="n"/>
    </row>
    <row r="78">
      <c r="F78" s="15" t="n"/>
    </row>
    <row r="79">
      <c r="F79" s="15" t="n"/>
    </row>
    <row r="80">
      <c r="F80" s="15" t="n"/>
    </row>
    <row r="81">
      <c r="F81" s="15" t="n"/>
    </row>
    <row r="82">
      <c r="F82" s="15" t="n"/>
    </row>
    <row r="83">
      <c r="F83" s="15" t="n"/>
    </row>
    <row r="84">
      <c r="F84" s="15" t="n"/>
    </row>
    <row r="85">
      <c r="F85" s="15" t="n"/>
    </row>
    <row r="86">
      <c r="F86" s="15" t="n"/>
    </row>
    <row r="87">
      <c r="F87" s="15" t="n"/>
    </row>
    <row r="88">
      <c r="F88" s="15" t="n"/>
    </row>
    <row r="89">
      <c r="F89" s="15" t="n"/>
    </row>
    <row r="90">
      <c r="F90" s="15" t="n"/>
    </row>
    <row r="91">
      <c r="F91" s="15" t="n"/>
    </row>
    <row r="92">
      <c r="F92" s="15" t="n"/>
    </row>
    <row r="93">
      <c r="F93" s="15" t="n"/>
    </row>
    <row r="94">
      <c r="F94" s="15" t="n"/>
    </row>
    <row r="95">
      <c r="F95" s="15" t="n"/>
    </row>
    <row r="96">
      <c r="F96" s="15" t="n"/>
    </row>
    <row r="97">
      <c r="F97" s="15" t="n"/>
    </row>
    <row r="98">
      <c r="F98" s="15" t="n"/>
    </row>
    <row r="99">
      <c r="F99" s="15" t="n"/>
    </row>
    <row r="100">
      <c r="F100" s="15" t="n"/>
    </row>
    <row r="101">
      <c r="F101" s="15" t="n"/>
    </row>
    <row r="102">
      <c r="F102" s="15" t="n"/>
    </row>
    <row r="103">
      <c r="F103" s="15" t="n"/>
    </row>
    <row r="104">
      <c r="F104" s="15" t="n"/>
    </row>
    <row r="105">
      <c r="F105" s="15" t="n"/>
    </row>
    <row r="106">
      <c r="F106" s="15" t="n"/>
    </row>
    <row r="107">
      <c r="F107" s="15" t="n"/>
    </row>
    <row r="108">
      <c r="F108" s="15" t="n"/>
    </row>
    <row r="109">
      <c r="F109" s="15" t="n"/>
    </row>
    <row r="110">
      <c r="F110" s="15" t="n"/>
    </row>
    <row r="111">
      <c r="F111" s="15" t="n"/>
    </row>
    <row r="112">
      <c r="F112" s="15" t="n"/>
    </row>
    <row r="113">
      <c r="F113" s="15" t="n"/>
    </row>
    <row r="114">
      <c r="F114" s="15" t="n"/>
    </row>
    <row r="115">
      <c r="F115" s="15" t="n"/>
    </row>
    <row r="116">
      <c r="F116" s="15" t="n"/>
    </row>
    <row r="117">
      <c r="F117" s="15" t="n"/>
    </row>
    <row r="118">
      <c r="F118" s="15" t="n"/>
    </row>
    <row r="119">
      <c r="F119" s="15" t="n"/>
    </row>
    <row r="120">
      <c r="F120" s="15" t="n"/>
    </row>
    <row r="121">
      <c r="F121" s="15" t="n"/>
    </row>
    <row r="122">
      <c r="F122" s="15" t="n"/>
    </row>
    <row r="123">
      <c r="F123" s="15" t="n"/>
    </row>
    <row r="124">
      <c r="F124" s="15" t="n"/>
    </row>
    <row r="125">
      <c r="F125" s="15" t="n"/>
    </row>
    <row r="126">
      <c r="F126" s="15" t="n"/>
    </row>
    <row r="127">
      <c r="F127" s="15" t="n"/>
    </row>
    <row r="128">
      <c r="F128" s="15" t="n"/>
    </row>
    <row r="129">
      <c r="F129" s="15" t="n"/>
    </row>
    <row r="130">
      <c r="F130" s="15" t="n"/>
    </row>
    <row r="131">
      <c r="F131" s="15" t="n"/>
    </row>
    <row r="132">
      <c r="F132" s="15" t="n"/>
    </row>
    <row r="133">
      <c r="F133" s="15" t="n"/>
    </row>
    <row r="134">
      <c r="F134" s="15" t="n"/>
    </row>
    <row r="135">
      <c r="F135" s="15" t="n"/>
    </row>
    <row r="136">
      <c r="F136" s="15" t="n"/>
    </row>
    <row r="137">
      <c r="F137" s="15" t="n"/>
    </row>
    <row r="138">
      <c r="F138" s="15" t="n"/>
    </row>
    <row r="139">
      <c r="F139" s="15" t="n"/>
    </row>
    <row r="140">
      <c r="F140" s="15" t="n"/>
    </row>
    <row r="141">
      <c r="F141" s="15" t="n"/>
    </row>
    <row r="142">
      <c r="F142" s="15" t="n"/>
    </row>
    <row r="143">
      <c r="F143" s="15" t="n"/>
    </row>
    <row r="144">
      <c r="F144" s="15" t="n"/>
    </row>
    <row r="145">
      <c r="F145" s="15" t="n"/>
    </row>
    <row r="146">
      <c r="F146" s="15" t="n"/>
    </row>
    <row r="147">
      <c r="F147" s="15" t="n"/>
    </row>
    <row r="148">
      <c r="F148" s="15" t="n"/>
    </row>
    <row r="149">
      <c r="F149" s="15" t="n"/>
    </row>
    <row r="150">
      <c r="F150" s="15" t="n"/>
    </row>
    <row r="151">
      <c r="F151" s="15" t="n"/>
    </row>
    <row r="152">
      <c r="F152" s="15" t="n"/>
    </row>
    <row r="153">
      <c r="F153" s="15" t="n"/>
    </row>
    <row r="154">
      <c r="F154" s="15" t="n"/>
    </row>
    <row r="155">
      <c r="F155" s="15" t="n"/>
    </row>
    <row r="156">
      <c r="F156" s="15" t="n"/>
    </row>
    <row r="157">
      <c r="F157" s="15" t="n"/>
    </row>
    <row r="158">
      <c r="F158" s="15" t="n"/>
    </row>
    <row r="159">
      <c r="F159" s="15" t="n"/>
    </row>
    <row r="160">
      <c r="F160" s="15" t="n"/>
    </row>
    <row r="161">
      <c r="F161" s="15" t="n"/>
    </row>
    <row r="162">
      <c r="F162" s="15" t="n"/>
    </row>
    <row r="163">
      <c r="F163" s="15" t="n"/>
    </row>
    <row r="164">
      <c r="F164" s="15" t="n"/>
    </row>
    <row r="165">
      <c r="F165" s="15" t="n"/>
    </row>
    <row r="166">
      <c r="F166" s="15" t="n"/>
    </row>
    <row r="167">
      <c r="F167" s="15" t="n"/>
    </row>
    <row r="168">
      <c r="F168" s="15" t="n"/>
    </row>
    <row r="169">
      <c r="F169" s="15" t="n"/>
    </row>
    <row r="170">
      <c r="F170" s="15" t="n"/>
    </row>
    <row r="171">
      <c r="F171" s="15" t="n"/>
    </row>
    <row r="172">
      <c r="F172" s="15" t="n"/>
    </row>
    <row r="173">
      <c r="F173" s="15" t="n"/>
    </row>
    <row r="174">
      <c r="F174" s="15" t="n"/>
    </row>
    <row r="175">
      <c r="F175" s="15" t="n"/>
    </row>
    <row r="176">
      <c r="F176" s="15" t="n"/>
    </row>
    <row r="177">
      <c r="F177" s="15" t="n"/>
    </row>
    <row r="178">
      <c r="F178" s="15" t="n"/>
    </row>
    <row r="179">
      <c r="F179" s="15" t="n"/>
    </row>
    <row r="180">
      <c r="F180" s="15" t="n"/>
    </row>
    <row r="181">
      <c r="F181" s="15" t="n"/>
    </row>
    <row r="182">
      <c r="F182" s="15" t="n"/>
    </row>
    <row r="183">
      <c r="F183" s="15" t="n"/>
    </row>
    <row r="184">
      <c r="F184" s="15" t="n"/>
    </row>
    <row r="185">
      <c r="F185" s="15" t="n"/>
    </row>
    <row r="186">
      <c r="F186" s="15" t="n"/>
    </row>
    <row r="187">
      <c r="F187" s="15" t="n"/>
    </row>
    <row r="188">
      <c r="F188" s="15" t="n"/>
    </row>
    <row r="189">
      <c r="F189" s="15" t="n"/>
    </row>
    <row r="190">
      <c r="F190" s="15" t="n"/>
    </row>
    <row r="191">
      <c r="F191" s="15" t="n"/>
    </row>
    <row r="192">
      <c r="F192" s="15" t="n"/>
    </row>
    <row r="193">
      <c r="F193" s="15" t="n"/>
    </row>
    <row r="194">
      <c r="F194" s="15" t="n"/>
    </row>
    <row r="195">
      <c r="F195" s="15" t="n"/>
    </row>
    <row r="196">
      <c r="F196" s="15" t="n"/>
    </row>
    <row r="197">
      <c r="F197" s="15" t="n"/>
    </row>
    <row r="198">
      <c r="F198" s="15" t="n"/>
    </row>
    <row r="199">
      <c r="F199" s="15" t="n"/>
    </row>
    <row r="200">
      <c r="F200" s="15" t="n"/>
    </row>
    <row r="201">
      <c r="F201" s="15" t="n"/>
    </row>
    <row r="202">
      <c r="F202" s="15" t="n"/>
    </row>
    <row r="203">
      <c r="F203" s="15" t="n"/>
    </row>
    <row r="204">
      <c r="F204" s="15" t="n"/>
    </row>
    <row r="205">
      <c r="F205" s="15" t="n"/>
    </row>
    <row r="206">
      <c r="F206" s="15" t="n"/>
    </row>
    <row r="207">
      <c r="F207" s="15" t="n"/>
    </row>
    <row r="208">
      <c r="F208" s="15" t="n"/>
    </row>
    <row r="209">
      <c r="F209" s="15" t="n"/>
    </row>
    <row r="210">
      <c r="F210" s="15" t="n"/>
    </row>
    <row r="211">
      <c r="F211" s="15" t="n"/>
    </row>
    <row r="212">
      <c r="F212" s="15" t="n"/>
    </row>
    <row r="213">
      <c r="F213" s="15" t="n"/>
    </row>
    <row r="214">
      <c r="F214" s="15" t="n"/>
    </row>
    <row r="215">
      <c r="F215" s="15" t="n"/>
    </row>
    <row r="216">
      <c r="F216" s="15" t="n"/>
    </row>
    <row r="217">
      <c r="F217" s="15" t="n"/>
    </row>
    <row r="218">
      <c r="F218" s="15" t="n"/>
    </row>
    <row r="219">
      <c r="F219" s="15" t="n"/>
    </row>
    <row r="220">
      <c r="F220" s="15" t="n"/>
    </row>
    <row r="221">
      <c r="F221" s="15" t="n"/>
    </row>
    <row r="222">
      <c r="F222" s="15" t="n"/>
    </row>
    <row r="223">
      <c r="F223" s="15" t="n"/>
    </row>
    <row r="224">
      <c r="F224" s="15" t="n"/>
    </row>
    <row r="225">
      <c r="F225" s="15" t="n"/>
    </row>
    <row r="226">
      <c r="F226" s="15" t="n"/>
    </row>
    <row r="227">
      <c r="F227" s="15" t="n"/>
    </row>
    <row r="228">
      <c r="F228" s="15" t="n"/>
    </row>
    <row r="229">
      <c r="F229" s="15" t="n"/>
    </row>
    <row r="230">
      <c r="F230" s="15" t="n"/>
    </row>
    <row r="231">
      <c r="F231" s="15" t="n"/>
    </row>
    <row r="232">
      <c r="F232" s="15" t="n"/>
    </row>
    <row r="233">
      <c r="F233" s="15" t="n"/>
    </row>
    <row r="234">
      <c r="F234" s="15" t="n"/>
    </row>
    <row r="235">
      <c r="F235" s="15" t="n"/>
    </row>
    <row r="236">
      <c r="F236" s="15" t="n"/>
    </row>
    <row r="237">
      <c r="F237" s="15" t="n"/>
    </row>
    <row r="238">
      <c r="F238" s="15" t="n"/>
    </row>
    <row r="239">
      <c r="F239" s="15" t="n"/>
    </row>
    <row r="240">
      <c r="F240" s="15" t="n"/>
    </row>
    <row r="241">
      <c r="F241" s="15" t="n"/>
    </row>
    <row r="242">
      <c r="F242" s="15" t="n"/>
    </row>
    <row r="243">
      <c r="F243" s="15" t="n"/>
    </row>
    <row r="244">
      <c r="F244" s="15" t="n"/>
    </row>
    <row r="245">
      <c r="F245" s="15" t="n"/>
    </row>
    <row r="246">
      <c r="F246" s="15" t="n"/>
    </row>
    <row r="247">
      <c r="F247" s="15" t="n"/>
    </row>
    <row r="248">
      <c r="F248" s="15" t="n"/>
    </row>
    <row r="249">
      <c r="F249" s="15" t="n"/>
    </row>
    <row r="250">
      <c r="F250" s="15" t="n"/>
    </row>
    <row r="251">
      <c r="F251" s="15" t="n"/>
    </row>
    <row r="252">
      <c r="F252" s="15" t="n"/>
    </row>
    <row r="253">
      <c r="F253" s="15" t="n"/>
    </row>
    <row r="254">
      <c r="F254" s="15" t="n"/>
    </row>
    <row r="255">
      <c r="F255" s="15" t="n"/>
    </row>
    <row r="256">
      <c r="F256" s="15" t="n"/>
    </row>
    <row r="257">
      <c r="F257" s="15" t="n"/>
    </row>
    <row r="258">
      <c r="F258" s="15" t="n"/>
    </row>
    <row r="259">
      <c r="F259" s="15" t="n"/>
    </row>
    <row r="260">
      <c r="F260" s="15" t="n"/>
    </row>
    <row r="261">
      <c r="F261" s="15" t="n"/>
    </row>
    <row r="262">
      <c r="F262" s="15" t="n"/>
    </row>
    <row r="263">
      <c r="F263" s="15" t="n"/>
    </row>
    <row r="264">
      <c r="F264" s="15" t="n"/>
    </row>
    <row r="265">
      <c r="F265" s="15" t="n"/>
    </row>
    <row r="266">
      <c r="F266" s="15" t="n"/>
    </row>
    <row r="267">
      <c r="F267" s="15" t="n"/>
    </row>
    <row r="268">
      <c r="F268" s="15" t="n"/>
    </row>
    <row r="269">
      <c r="F269" s="15" t="n"/>
    </row>
    <row r="270">
      <c r="F270" s="15" t="n"/>
    </row>
    <row r="271">
      <c r="F271" s="15" t="n"/>
    </row>
    <row r="272">
      <c r="F272" s="15" t="n"/>
    </row>
    <row r="273">
      <c r="F273" s="15" t="n"/>
    </row>
    <row r="274">
      <c r="F274" s="15" t="n"/>
    </row>
    <row r="275">
      <c r="F275" s="15" t="n"/>
    </row>
    <row r="276">
      <c r="F276" s="15" t="n"/>
    </row>
    <row r="277">
      <c r="F277" s="15" t="n"/>
    </row>
    <row r="278">
      <c r="F278" s="15" t="n"/>
    </row>
    <row r="279">
      <c r="F279" s="15" t="n"/>
    </row>
    <row r="280">
      <c r="F280" s="15" t="n"/>
    </row>
    <row r="281">
      <c r="F281" s="15" t="n"/>
    </row>
    <row r="282">
      <c r="F282" s="15" t="n"/>
    </row>
    <row r="283">
      <c r="F283" s="15" t="n"/>
    </row>
    <row r="284">
      <c r="F284" s="15" t="n"/>
    </row>
    <row r="285">
      <c r="F285" s="15" t="n"/>
    </row>
    <row r="286">
      <c r="F286" s="15" t="n"/>
    </row>
    <row r="287">
      <c r="F287" s="15" t="n"/>
    </row>
    <row r="288">
      <c r="F288" s="15" t="n"/>
    </row>
    <row r="289">
      <c r="F289" s="15" t="n"/>
    </row>
    <row r="290">
      <c r="F290" s="15" t="n"/>
    </row>
    <row r="291">
      <c r="F291" s="15" t="n"/>
    </row>
    <row r="292">
      <c r="F292" s="15" t="n"/>
    </row>
    <row r="293">
      <c r="F293" s="15" t="n"/>
    </row>
    <row r="294">
      <c r="F294" s="15" t="n"/>
    </row>
    <row r="295">
      <c r="F295" s="15" t="n"/>
    </row>
    <row r="296">
      <c r="F296" s="15" t="n"/>
    </row>
    <row r="297">
      <c r="F297" s="15" t="n"/>
    </row>
    <row r="298">
      <c r="F298" s="15" t="n"/>
    </row>
    <row r="299">
      <c r="F299" s="15" t="n"/>
    </row>
    <row r="300">
      <c r="F300" s="15" t="n"/>
    </row>
    <row r="301">
      <c r="F301" s="15" t="n"/>
    </row>
    <row r="302">
      <c r="F302" s="15" t="n"/>
    </row>
    <row r="303">
      <c r="F303" s="15" t="n"/>
    </row>
    <row r="304">
      <c r="F304" s="15" t="n"/>
    </row>
    <row r="305">
      <c r="F305" s="15" t="n"/>
    </row>
    <row r="306">
      <c r="F306" s="15" t="n"/>
    </row>
    <row r="307">
      <c r="F307" s="15" t="n"/>
    </row>
    <row r="308">
      <c r="F308" s="15" t="n"/>
    </row>
    <row r="309">
      <c r="F309" s="15" t="n"/>
    </row>
    <row r="310">
      <c r="F310" s="15" t="n"/>
    </row>
    <row r="311">
      <c r="F311" s="15" t="n"/>
    </row>
    <row r="312">
      <c r="F312" s="15" t="n"/>
    </row>
    <row r="313">
      <c r="F313" s="15" t="n"/>
    </row>
    <row r="314">
      <c r="F314" s="15" t="n"/>
    </row>
    <row r="315">
      <c r="F315" s="15" t="n"/>
    </row>
    <row r="316">
      <c r="F316" s="15" t="n"/>
    </row>
    <row r="317">
      <c r="F317" s="15" t="n"/>
    </row>
    <row r="318">
      <c r="F318" s="15" t="n"/>
    </row>
    <row r="319">
      <c r="F319" s="15" t="n"/>
    </row>
    <row r="320">
      <c r="F320" s="15" t="n"/>
    </row>
    <row r="321">
      <c r="F321" s="15" t="n"/>
    </row>
    <row r="322">
      <c r="F322" s="15" t="n"/>
    </row>
    <row r="323">
      <c r="F323" s="15" t="n"/>
    </row>
    <row r="324">
      <c r="F324" s="15" t="n"/>
    </row>
    <row r="325">
      <c r="F325" s="15" t="n"/>
    </row>
    <row r="326">
      <c r="F326" s="15" t="n"/>
    </row>
    <row r="327">
      <c r="F327" s="15" t="n"/>
    </row>
    <row r="328">
      <c r="F328" s="15" t="n"/>
    </row>
    <row r="329">
      <c r="F329" s="15" t="n"/>
    </row>
    <row r="330">
      <c r="F330" s="15" t="n"/>
    </row>
    <row r="331">
      <c r="F331" s="15" t="n"/>
    </row>
    <row r="332">
      <c r="F332" s="15" t="n"/>
    </row>
    <row r="333">
      <c r="F333" s="15" t="n"/>
    </row>
    <row r="334">
      <c r="F334" s="15" t="n"/>
    </row>
    <row r="335">
      <c r="F335" s="15" t="n"/>
    </row>
    <row r="336">
      <c r="F336" s="15" t="n"/>
    </row>
    <row r="337">
      <c r="F337" s="15" t="n"/>
    </row>
    <row r="338">
      <c r="F338" s="15" t="n"/>
    </row>
    <row r="339">
      <c r="F339" s="15" t="n"/>
    </row>
    <row r="340">
      <c r="F340" s="15" t="n"/>
    </row>
    <row r="341">
      <c r="F341" s="15" t="n"/>
    </row>
    <row r="342">
      <c r="F342" s="15" t="n"/>
    </row>
    <row r="343">
      <c r="F343" s="15" t="n"/>
    </row>
    <row r="344">
      <c r="F344" s="15" t="n"/>
    </row>
    <row r="345">
      <c r="F345" s="15" t="n"/>
    </row>
    <row r="346">
      <c r="F346" s="15" t="n"/>
    </row>
    <row r="347">
      <c r="F347" s="15" t="n"/>
    </row>
    <row r="348">
      <c r="F348" s="15" t="n"/>
    </row>
    <row r="349">
      <c r="F349" s="15" t="n"/>
    </row>
    <row r="350">
      <c r="F350" s="15" t="n"/>
    </row>
    <row r="351">
      <c r="F351" s="15" t="n"/>
    </row>
    <row r="352">
      <c r="F352" s="15" t="n"/>
    </row>
    <row r="353">
      <c r="F353" s="15" t="n"/>
    </row>
    <row r="354">
      <c r="F354" s="15" t="n"/>
    </row>
    <row r="355">
      <c r="F355" s="15" t="n"/>
    </row>
    <row r="356">
      <c r="F356" s="15" t="n"/>
    </row>
    <row r="357">
      <c r="F357" s="15" t="n"/>
    </row>
    <row r="358">
      <c r="F358" s="15" t="n"/>
    </row>
    <row r="359">
      <c r="F359" s="15" t="n"/>
    </row>
    <row r="360">
      <c r="F360" s="15" t="n"/>
    </row>
    <row r="361">
      <c r="F361" s="15" t="n"/>
    </row>
    <row r="362">
      <c r="F362" s="15" t="n"/>
    </row>
    <row r="363">
      <c r="F363" s="15" t="n"/>
    </row>
    <row r="364">
      <c r="F364" s="15" t="n"/>
    </row>
    <row r="365">
      <c r="F365" s="15" t="n"/>
    </row>
    <row r="366">
      <c r="F366" s="15" t="n"/>
    </row>
    <row r="367">
      <c r="F367" s="15" t="n"/>
    </row>
    <row r="368">
      <c r="F368" s="15" t="n"/>
    </row>
    <row r="369">
      <c r="F369" s="15" t="n"/>
    </row>
    <row r="370">
      <c r="F370" s="15" t="n"/>
    </row>
    <row r="371">
      <c r="F371" s="15" t="n"/>
    </row>
    <row r="372">
      <c r="F372" s="15" t="n"/>
    </row>
    <row r="373">
      <c r="F373" s="15" t="n"/>
    </row>
    <row r="374">
      <c r="F374" s="15" t="n"/>
    </row>
    <row r="375">
      <c r="F375" s="15" t="n"/>
    </row>
    <row r="376">
      <c r="F376" s="15" t="n"/>
    </row>
    <row r="377">
      <c r="F377" s="15" t="n"/>
    </row>
    <row r="378">
      <c r="F378" s="15" t="n"/>
    </row>
    <row r="379">
      <c r="F379" s="15" t="n"/>
    </row>
    <row r="380">
      <c r="F380" s="15" t="n"/>
    </row>
    <row r="381">
      <c r="F381" s="15" t="n"/>
    </row>
    <row r="382">
      <c r="F382" s="15" t="n"/>
    </row>
    <row r="383">
      <c r="F383" s="15" t="n"/>
    </row>
    <row r="384">
      <c r="F384" s="15" t="n"/>
    </row>
    <row r="385">
      <c r="F385" s="15" t="n"/>
    </row>
    <row r="386">
      <c r="F386" s="15" t="n"/>
    </row>
    <row r="387">
      <c r="F387" s="15" t="n"/>
    </row>
    <row r="388">
      <c r="F388" s="15" t="n"/>
    </row>
    <row r="389">
      <c r="F389" s="15" t="n"/>
    </row>
    <row r="390">
      <c r="F390" s="15" t="n"/>
    </row>
    <row r="391">
      <c r="F391" s="15" t="n"/>
    </row>
    <row r="392">
      <c r="F392" s="15" t="n"/>
    </row>
    <row r="393">
      <c r="F393" s="15" t="n"/>
    </row>
    <row r="394">
      <c r="F394" s="15" t="n"/>
    </row>
    <row r="395">
      <c r="F395" s="15" t="n"/>
    </row>
    <row r="396">
      <c r="F396" s="15" t="n"/>
    </row>
    <row r="397">
      <c r="F397" s="15" t="n"/>
    </row>
    <row r="398">
      <c r="F398" s="15" t="n"/>
    </row>
    <row r="399">
      <c r="F399" s="15" t="n"/>
    </row>
    <row r="400">
      <c r="F400" s="15" t="n"/>
    </row>
    <row r="401">
      <c r="F401" s="15" t="n"/>
    </row>
    <row r="402">
      <c r="F402" s="15" t="n"/>
    </row>
    <row r="403">
      <c r="F403" s="15" t="n"/>
    </row>
    <row r="404">
      <c r="F404" s="15" t="n"/>
    </row>
    <row r="405">
      <c r="F405" s="15" t="n"/>
    </row>
    <row r="406">
      <c r="F406" s="15" t="n"/>
    </row>
    <row r="407">
      <c r="F407" s="15" t="n"/>
    </row>
    <row r="408">
      <c r="F408" s="15" t="n"/>
    </row>
    <row r="409">
      <c r="F409" s="15" t="n"/>
    </row>
    <row r="410">
      <c r="F410" s="15" t="n"/>
    </row>
    <row r="411">
      <c r="F411" s="15" t="n"/>
    </row>
    <row r="412">
      <c r="F412" s="15" t="n"/>
    </row>
    <row r="413">
      <c r="F413" s="15" t="n"/>
    </row>
    <row r="414">
      <c r="F414" s="15" t="n"/>
    </row>
    <row r="415">
      <c r="F415" s="15" t="n"/>
    </row>
    <row r="416">
      <c r="F416" s="15" t="n"/>
    </row>
    <row r="417">
      <c r="F417" s="15" t="n"/>
    </row>
    <row r="418">
      <c r="F418" s="15" t="n"/>
    </row>
    <row r="419">
      <c r="F419" s="15" t="n"/>
    </row>
    <row r="420">
      <c r="F420" s="15" t="n"/>
    </row>
    <row r="421">
      <c r="F421" s="15" t="n"/>
    </row>
    <row r="422">
      <c r="F422" s="15" t="n"/>
    </row>
    <row r="423">
      <c r="F423" s="15" t="n"/>
    </row>
    <row r="424">
      <c r="F424" s="15" t="n"/>
    </row>
    <row r="425">
      <c r="F425" s="15" t="n"/>
    </row>
    <row r="426">
      <c r="F426" s="15" t="n"/>
    </row>
    <row r="427">
      <c r="F427" s="15" t="n"/>
    </row>
    <row r="428">
      <c r="F428" s="15" t="n"/>
    </row>
    <row r="429">
      <c r="F429" s="15" t="n"/>
    </row>
    <row r="430">
      <c r="F430" s="15" t="n"/>
    </row>
    <row r="431">
      <c r="F431" s="15" t="n"/>
    </row>
    <row r="432">
      <c r="F432" s="15" t="n"/>
    </row>
    <row r="433">
      <c r="F433" s="15" t="n"/>
    </row>
    <row r="434">
      <c r="F434" s="15" t="n"/>
    </row>
    <row r="435">
      <c r="F435" s="15" t="n"/>
    </row>
    <row r="436">
      <c r="F436" s="15" t="n"/>
    </row>
    <row r="437">
      <c r="F437" s="15" t="n"/>
    </row>
    <row r="438">
      <c r="F438" s="15" t="n"/>
    </row>
    <row r="439">
      <c r="F439" s="15" t="n"/>
    </row>
    <row r="440">
      <c r="F440" s="15" t="n"/>
    </row>
    <row r="441">
      <c r="F441" s="15" t="n"/>
    </row>
    <row r="442">
      <c r="F442" s="15" t="n"/>
    </row>
    <row r="443">
      <c r="F443" s="15" t="n"/>
    </row>
    <row r="444">
      <c r="F444" s="15" t="n"/>
    </row>
    <row r="445">
      <c r="F445" s="15" t="n"/>
    </row>
    <row r="446">
      <c r="F446" s="15" t="n"/>
    </row>
    <row r="447">
      <c r="F447" s="15" t="n"/>
    </row>
    <row r="448">
      <c r="F448" s="15" t="n"/>
    </row>
    <row r="449">
      <c r="F449" s="15" t="n"/>
    </row>
    <row r="450">
      <c r="F450" s="15" t="n"/>
    </row>
    <row r="451">
      <c r="F451" s="15" t="n"/>
    </row>
    <row r="452">
      <c r="F452" s="15" t="n"/>
    </row>
    <row r="453">
      <c r="F453" s="15" t="n"/>
    </row>
    <row r="454">
      <c r="F454" s="15" t="n"/>
    </row>
    <row r="455">
      <c r="F455" s="15" t="n"/>
    </row>
    <row r="456">
      <c r="F456" s="15" t="n"/>
    </row>
    <row r="457">
      <c r="F457" s="15" t="n"/>
    </row>
    <row r="458">
      <c r="F458" s="15" t="n"/>
    </row>
    <row r="459">
      <c r="F459" s="15" t="n"/>
    </row>
    <row r="460">
      <c r="F460" s="15" t="n"/>
    </row>
    <row r="461">
      <c r="F461" s="15" t="n"/>
    </row>
    <row r="462">
      <c r="F462" s="15" t="n"/>
    </row>
    <row r="463">
      <c r="F463" s="15" t="n"/>
    </row>
    <row r="464">
      <c r="F464" s="15" t="n"/>
    </row>
    <row r="465">
      <c r="F465" s="15" t="n"/>
    </row>
    <row r="466">
      <c r="F466" s="15" t="n"/>
    </row>
    <row r="467">
      <c r="F467" s="15" t="n"/>
    </row>
    <row r="468">
      <c r="F468" s="15" t="n"/>
    </row>
    <row r="469">
      <c r="F469" s="15" t="n"/>
    </row>
    <row r="470">
      <c r="F470" s="15" t="n"/>
    </row>
    <row r="471">
      <c r="F471" s="15" t="n"/>
    </row>
    <row r="472">
      <c r="F472" s="15" t="n"/>
    </row>
    <row r="473">
      <c r="F473" s="15" t="n"/>
    </row>
    <row r="474">
      <c r="F474" s="15" t="n"/>
    </row>
    <row r="475">
      <c r="F475" s="15" t="n"/>
    </row>
    <row r="476">
      <c r="F476" s="15" t="n"/>
    </row>
    <row r="477">
      <c r="F477" s="15" t="n"/>
    </row>
    <row r="478">
      <c r="F478" s="15" t="n"/>
    </row>
    <row r="479">
      <c r="F479" s="15" t="n"/>
    </row>
    <row r="480">
      <c r="F480" s="15" t="n"/>
    </row>
    <row r="481">
      <c r="F481" s="15" t="n"/>
    </row>
    <row r="482">
      <c r="F482" s="15" t="n"/>
    </row>
    <row r="483">
      <c r="F483" s="15" t="n"/>
    </row>
    <row r="484">
      <c r="F484" s="15" t="n"/>
    </row>
    <row r="485">
      <c r="F485" s="15" t="n"/>
    </row>
    <row r="486">
      <c r="F486" s="15" t="n"/>
    </row>
    <row r="487">
      <c r="F487" s="15" t="n"/>
    </row>
    <row r="488">
      <c r="F488" s="15" t="n"/>
    </row>
    <row r="489">
      <c r="F489" s="15" t="n"/>
    </row>
    <row r="490">
      <c r="F490" s="15" t="n"/>
    </row>
    <row r="491">
      <c r="F491" s="15" t="n"/>
    </row>
    <row r="492">
      <c r="F492" s="15" t="n"/>
    </row>
    <row r="493">
      <c r="F493" s="15" t="n"/>
    </row>
    <row r="494">
      <c r="F494" s="15" t="n"/>
    </row>
    <row r="495">
      <c r="F495" s="15" t="n"/>
    </row>
    <row r="496">
      <c r="F496" s="15" t="n"/>
    </row>
    <row r="497">
      <c r="F497" s="15" t="n"/>
    </row>
    <row r="498">
      <c r="F498" s="15" t="n"/>
    </row>
    <row r="499">
      <c r="F499" s="15" t="n"/>
    </row>
    <row r="500">
      <c r="F500" s="15" t="n"/>
    </row>
  </sheetData>
  <dataValidations count="5">
    <dataValidation sqref="C6:C1006" showDropDown="0" showInputMessage="0" showErrorMessage="0" allowBlank="1" type="list">
      <formula1>"Income,Expense,Investment,Transfer,Savings,Debt Payment"</formula1>
    </dataValidation>
    <dataValidation sqref="D6:D1006" showDropDown="0" showInputMessage="0" showErrorMessage="0" allowBlank="1" type="list">
      <formula1>"Debt,Food,Health,Housing,Income,Investments,Learning,Lifestyle,Subscriptions,Transportation,Utilities"</formula1>
    </dataValidation>
    <dataValidation sqref="E6:E1006" showDropDown="0" showInputMessage="0" showErrorMessage="0" allowBlank="1" type="list">
      <formula1>"Rent / Mortgage,Groceries,Dining Out,Internet,Mobile Phone,Electric / Water,Gas,Maintenance,Medical,Fitness,Shopping,Entertainment,Streaming / Software,Books / Courses,Brokerage / Retirement,Auto Loan,Salary"</formula1>
    </dataValidation>
    <dataValidation sqref="G6:G1006" showDropDown="0" showInputMessage="0" showErrorMessage="0" allowBlank="1" type="list">
      <formula1>"Chase Checking,Ally High-Yield Savings,Venmo Wallet,Chase Freedom Credit Card,Amex Blue Cash Card,Fidelity Brokerage,Vanguard Roth IRA,401(k)"</formula1>
    </dataValidation>
    <dataValidation sqref="L6:L1006" showDropDown="0" showInputMessage="0" showErrorMessage="0" allowBlank="1" type="list">
      <formula1>"Planned,Paid,Pending,Skipped"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100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18" customWidth="1" min="4" max="4"/>
    <col width="24" customWidth="1" min="5" max="5"/>
    <col width="14" customWidth="1" min="6" max="6"/>
    <col width="26" customWidth="1" min="7" max="7"/>
    <col width="18" customWidth="1" min="8" max="8"/>
    <col width="12" customWidth="1" min="9" max="9"/>
    <col width="24" customWidth="1" min="10" max="10"/>
    <col width="12" customWidth="1" min="11" max="11"/>
    <col width="10" customWidth="1" min="12" max="12"/>
    <col width="22" customWidth="1" min="13" max="13"/>
    <col width="34" customWidth="1" min="14" max="14"/>
  </cols>
  <sheetData>
    <row r="2">
      <c r="B2" s="11" t="inlineStr">
        <is>
          <t>Transaction Log</t>
        </is>
      </c>
    </row>
    <row r="3">
      <c r="B3" s="12" t="inlineStr">
        <is>
          <t>Capture day-to-day income, expenses, transfers, investments and debt payments</t>
        </is>
      </c>
    </row>
    <row r="5">
      <c r="A5" s="9" t="inlineStr">
        <is>
          <t>Date</t>
        </is>
      </c>
      <c r="B5" s="9" t="inlineStr">
        <is>
          <t>Name</t>
        </is>
      </c>
      <c r="C5" s="9" t="inlineStr">
        <is>
          <t>Type</t>
        </is>
      </c>
      <c r="D5" s="9" t="inlineStr">
        <is>
          <t>Category</t>
        </is>
      </c>
      <c r="E5" s="9" t="inlineStr">
        <is>
          <t>Sub-Category</t>
        </is>
      </c>
      <c r="F5" s="9" t="inlineStr">
        <is>
          <t>Amount</t>
        </is>
      </c>
      <c r="G5" s="9" t="inlineStr">
        <is>
          <t>Account</t>
        </is>
      </c>
      <c r="H5" s="9" t="inlineStr">
        <is>
          <t>Payment Method</t>
        </is>
      </c>
      <c r="I5" s="9" t="inlineStr">
        <is>
          <t>Status</t>
        </is>
      </c>
      <c r="J5" s="9" t="inlineStr">
        <is>
          <t>Recurring Source</t>
        </is>
      </c>
      <c r="K5" s="9" t="inlineStr">
        <is>
          <t>Month</t>
        </is>
      </c>
      <c r="L5" s="9" t="inlineStr">
        <is>
          <t>Week</t>
        </is>
      </c>
      <c r="M5" s="9" t="inlineStr">
        <is>
          <t>Duplicate Check</t>
        </is>
      </c>
      <c r="N5" s="9" t="inlineStr">
        <is>
          <t>Notes</t>
        </is>
      </c>
    </row>
    <row r="6">
      <c r="A6" s="10" t="inlineStr">
        <is>
          <t>2026-05-01</t>
        </is>
      </c>
      <c r="B6" s="10" t="inlineStr">
        <is>
          <t>May Paycheck 1</t>
        </is>
      </c>
      <c r="C6" s="10" t="inlineStr">
        <is>
          <t>Income</t>
        </is>
      </c>
      <c r="D6" s="10" t="inlineStr">
        <is>
          <t>Income</t>
        </is>
      </c>
      <c r="E6" s="10" t="inlineStr">
        <is>
          <t>Salary</t>
        </is>
      </c>
      <c r="F6" s="13" t="n">
        <v>5200</v>
      </c>
      <c r="G6" s="10" t="inlineStr">
        <is>
          <t>Chase Checking</t>
        </is>
      </c>
      <c r="H6" s="10" t="inlineStr">
        <is>
          <t>ACH</t>
        </is>
      </c>
      <c r="I6" s="10" t="inlineStr">
        <is>
          <t>Paid</t>
        </is>
      </c>
      <c r="J6" s="10" t="inlineStr">
        <is>
          <t>Biweekly Paycheck</t>
        </is>
      </c>
      <c r="K6" s="10">
        <f>TEXT(A6,"yyyy-mm")</f>
        <v/>
      </c>
      <c r="L6" s="10">
        <f>WEEKNUM(A6)</f>
        <v/>
      </c>
      <c r="M6" s="10">
        <f>IF(COUNTIFS(A:A,A6,B:B,B6,F:F,F6)&gt;1,"⚠ Possible Duplicate","")</f>
        <v/>
      </c>
      <c r="N6" s="10" t="inlineStr">
        <is>
          <t>First paycheck</t>
        </is>
      </c>
    </row>
    <row r="7">
      <c r="A7" s="10" t="inlineStr">
        <is>
          <t>2026-05-01</t>
        </is>
      </c>
      <c r="B7" s="10" t="inlineStr">
        <is>
          <t>Rent Payment</t>
        </is>
      </c>
      <c r="C7" s="10" t="inlineStr">
        <is>
          <t>Expense</t>
        </is>
      </c>
      <c r="D7" s="10" t="inlineStr">
        <is>
          <t>Housing</t>
        </is>
      </c>
      <c r="E7" s="10" t="inlineStr">
        <is>
          <t>Rent / Mortgage</t>
        </is>
      </c>
      <c r="F7" s="13" t="n">
        <v>2200</v>
      </c>
      <c r="G7" s="10" t="inlineStr">
        <is>
          <t>Chase Checking</t>
        </is>
      </c>
      <c r="H7" s="10" t="inlineStr">
        <is>
          <t>ACH</t>
        </is>
      </c>
      <c r="I7" s="10" t="inlineStr">
        <is>
          <t>Paid</t>
        </is>
      </c>
      <c r="J7" s="10" t="inlineStr">
        <is>
          <t>Rent Payment</t>
        </is>
      </c>
      <c r="K7" s="10">
        <f>TEXT(A7,"yyyy-mm")</f>
        <v/>
      </c>
      <c r="L7" s="10">
        <f>WEEKNUM(A7)</f>
        <v/>
      </c>
      <c r="M7" s="10">
        <f>IF(COUNTIFS(A:A,A7,B:B,B7,F:F,F7)&gt;1,"⚠ Possible Duplicate","")</f>
        <v/>
      </c>
      <c r="N7" s="10" t="inlineStr">
        <is>
          <t>Rent</t>
        </is>
      </c>
    </row>
    <row r="8">
      <c r="A8" s="10" t="inlineStr">
        <is>
          <t>2026-05-05</t>
        </is>
      </c>
      <c r="B8" s="10" t="inlineStr">
        <is>
          <t>Brokerage Auto-Invest</t>
        </is>
      </c>
      <c r="C8" s="10" t="inlineStr">
        <is>
          <t>Investment</t>
        </is>
      </c>
      <c r="D8" s="10" t="inlineStr">
        <is>
          <t>Investments</t>
        </is>
      </c>
      <c r="E8" s="10" t="inlineStr">
        <is>
          <t>Brokerage / Retirement</t>
        </is>
      </c>
      <c r="F8" s="13" t="n">
        <v>1000</v>
      </c>
      <c r="G8" s="10" t="inlineStr">
        <is>
          <t>Chase Checking</t>
        </is>
      </c>
      <c r="H8" s="10" t="inlineStr">
        <is>
          <t>Auto Debit</t>
        </is>
      </c>
      <c r="I8" s="10" t="inlineStr">
        <is>
          <t>Paid</t>
        </is>
      </c>
      <c r="J8" s="10" t="inlineStr">
        <is>
          <t>Brokerage Auto-Invest</t>
        </is>
      </c>
      <c r="K8" s="10">
        <f>TEXT(A8,"yyyy-mm")</f>
        <v/>
      </c>
      <c r="L8" s="10">
        <f>WEEKNUM(A8)</f>
        <v/>
      </c>
      <c r="M8" s="10">
        <f>IF(COUNTIFS(A:A,A8,B:B,B8,F:F,F8)&gt;1,"⚠ Possible Duplicate","")</f>
        <v/>
      </c>
      <c r="N8" s="10" t="inlineStr">
        <is>
          <t>Auto invest</t>
        </is>
      </c>
    </row>
    <row r="9">
      <c r="A9" s="10" t="inlineStr">
        <is>
          <t>2026-05-05</t>
        </is>
      </c>
      <c r="B9" s="10" t="inlineStr">
        <is>
          <t>Roth IRA Contribution</t>
        </is>
      </c>
      <c r="C9" s="10" t="inlineStr">
        <is>
          <t>Investment</t>
        </is>
      </c>
      <c r="D9" s="10" t="inlineStr">
        <is>
          <t>Investments</t>
        </is>
      </c>
      <c r="E9" s="10" t="inlineStr">
        <is>
          <t>Brokerage / Retirement</t>
        </is>
      </c>
      <c r="F9" s="13" t="n">
        <v>500</v>
      </c>
      <c r="G9" s="10" t="inlineStr">
        <is>
          <t>Chase Checking</t>
        </is>
      </c>
      <c r="H9" s="10" t="inlineStr">
        <is>
          <t>Auto Debit</t>
        </is>
      </c>
      <c r="I9" s="10" t="inlineStr">
        <is>
          <t>Paid</t>
        </is>
      </c>
      <c r="J9" s="10" t="inlineStr">
        <is>
          <t>Roth IRA Contribution</t>
        </is>
      </c>
      <c r="K9" s="10">
        <f>TEXT(A9,"yyyy-mm")</f>
        <v/>
      </c>
      <c r="L9" s="10">
        <f>WEEKNUM(A9)</f>
        <v/>
      </c>
      <c r="M9" s="10">
        <f>IF(COUNTIFS(A:A,A9,B:B,B9,F:F,F9)&gt;1,"⚠ Possible Duplicate","")</f>
        <v/>
      </c>
      <c r="N9" s="10" t="inlineStr">
        <is>
          <t>Roth</t>
        </is>
      </c>
    </row>
    <row r="10">
      <c r="A10" s="10" t="inlineStr">
        <is>
          <t>2026-05-06</t>
        </is>
      </c>
      <c r="B10" s="10" t="inlineStr">
        <is>
          <t>Costco Groceries</t>
        </is>
      </c>
      <c r="C10" s="10" t="inlineStr">
        <is>
          <t>Expense</t>
        </is>
      </c>
      <c r="D10" s="10" t="inlineStr">
        <is>
          <t>Food</t>
        </is>
      </c>
      <c r="E10" s="10" t="inlineStr">
        <is>
          <t>Groceries</t>
        </is>
      </c>
      <c r="F10" s="13" t="n">
        <v>185</v>
      </c>
      <c r="G10" s="10" t="inlineStr">
        <is>
          <t>Amex Blue Cash Card</t>
        </is>
      </c>
      <c r="H10" s="10" t="inlineStr">
        <is>
          <t>Credit Card</t>
        </is>
      </c>
      <c r="I10" s="10" t="inlineStr">
        <is>
          <t>Paid</t>
        </is>
      </c>
      <c r="J10" s="10" t="inlineStr"/>
      <c r="K10" s="10">
        <f>TEXT(A10,"yyyy-mm")</f>
        <v/>
      </c>
      <c r="L10" s="10">
        <f>WEEKNUM(A10)</f>
        <v/>
      </c>
      <c r="M10" s="10">
        <f>IF(COUNTIFS(A:A,A10,B:B,B10,F:F,F10)&gt;1,"⚠ Possible Duplicate","")</f>
        <v/>
      </c>
    </row>
    <row r="11">
      <c r="A11" s="10" t="inlineStr">
        <is>
          <t>2026-05-08</t>
        </is>
      </c>
      <c r="B11" s="10" t="inlineStr">
        <is>
          <t>Internet Bill</t>
        </is>
      </c>
      <c r="C11" s="10" t="inlineStr">
        <is>
          <t>Expense</t>
        </is>
      </c>
      <c r="D11" s="10" t="inlineStr">
        <is>
          <t>Utilities</t>
        </is>
      </c>
      <c r="E11" s="10" t="inlineStr">
        <is>
          <t>Internet</t>
        </is>
      </c>
      <c r="F11" s="13" t="n">
        <v>75</v>
      </c>
      <c r="G11" s="10" t="inlineStr">
        <is>
          <t>Chase Freedom Credit Card</t>
        </is>
      </c>
      <c r="H11" s="10" t="inlineStr">
        <is>
          <t>Credit Card</t>
        </is>
      </c>
      <c r="I11" s="10" t="inlineStr">
        <is>
          <t>Paid</t>
        </is>
      </c>
      <c r="J11" s="10" t="inlineStr">
        <is>
          <t>Internet Bill</t>
        </is>
      </c>
      <c r="K11" s="10">
        <f>TEXT(A11,"yyyy-mm")</f>
        <v/>
      </c>
      <c r="L11" s="10">
        <f>WEEKNUM(A11)</f>
        <v/>
      </c>
      <c r="M11" s="10">
        <f>IF(COUNTIFS(A:A,A11,B:B,B11,F:F,F11)&gt;1,"⚠ Possible Duplicate","")</f>
        <v/>
      </c>
      <c r="N11" s="10" t="inlineStr">
        <is>
          <t>Internet</t>
        </is>
      </c>
    </row>
    <row r="12">
      <c r="A12" s="10" t="inlineStr">
        <is>
          <t>2026-05-09</t>
        </is>
      </c>
      <c r="B12" s="10" t="inlineStr">
        <is>
          <t>Gas Station</t>
        </is>
      </c>
      <c r="C12" s="10" t="inlineStr">
        <is>
          <t>Expense</t>
        </is>
      </c>
      <c r="D12" s="10" t="inlineStr">
        <is>
          <t>Transportation</t>
        </is>
      </c>
      <c r="E12" s="10" t="inlineStr">
        <is>
          <t>Gas</t>
        </is>
      </c>
      <c r="F12" s="13" t="n">
        <v>62</v>
      </c>
      <c r="G12" s="10" t="inlineStr">
        <is>
          <t>Chase Freedom Credit Card</t>
        </is>
      </c>
      <c r="H12" s="10" t="inlineStr">
        <is>
          <t>Credit Card</t>
        </is>
      </c>
      <c r="I12" s="10" t="inlineStr">
        <is>
          <t>Paid</t>
        </is>
      </c>
      <c r="J12" s="10" t="inlineStr"/>
      <c r="K12" s="10">
        <f>TEXT(A12,"yyyy-mm")</f>
        <v/>
      </c>
      <c r="L12" s="10">
        <f>WEEKNUM(A12)</f>
        <v/>
      </c>
      <c r="M12" s="10">
        <f>IF(COUNTIFS(A:A,A12,B:B,B12,F:F,F12)&gt;1,"⚠ Possible Duplicate","")</f>
        <v/>
      </c>
    </row>
    <row r="13">
      <c r="A13" s="10" t="inlineStr">
        <is>
          <t>2026-05-10</t>
        </is>
      </c>
      <c r="B13" s="10" t="inlineStr">
        <is>
          <t>Dinner Downtown</t>
        </is>
      </c>
      <c r="C13" s="10" t="inlineStr">
        <is>
          <t>Expense</t>
        </is>
      </c>
      <c r="D13" s="10" t="inlineStr">
        <is>
          <t>Food</t>
        </is>
      </c>
      <c r="E13" s="10" t="inlineStr">
        <is>
          <t>Dining Out</t>
        </is>
      </c>
      <c r="F13" s="13" t="n">
        <v>88</v>
      </c>
      <c r="G13" s="10" t="inlineStr">
        <is>
          <t>Chase Freedom Credit Card</t>
        </is>
      </c>
      <c r="H13" s="10" t="inlineStr">
        <is>
          <t>Credit Card</t>
        </is>
      </c>
      <c r="I13" s="10" t="inlineStr">
        <is>
          <t>Paid</t>
        </is>
      </c>
      <c r="J13" s="10" t="inlineStr"/>
      <c r="K13" s="10">
        <f>TEXT(A13,"yyyy-mm")</f>
        <v/>
      </c>
      <c r="L13" s="10">
        <f>WEEKNUM(A13)</f>
        <v/>
      </c>
      <c r="M13" s="10">
        <f>IF(COUNTIFS(A:A,A13,B:B,B13,F:F,F13)&gt;1,"⚠ Possible Duplicate","")</f>
        <v/>
      </c>
    </row>
    <row r="14">
      <c r="A14" s="10" t="inlineStr">
        <is>
          <t>2026-05-11</t>
        </is>
      </c>
      <c r="B14" s="10" t="inlineStr">
        <is>
          <t>Online Course</t>
        </is>
      </c>
      <c r="C14" s="10" t="inlineStr">
        <is>
          <t>Expense</t>
        </is>
      </c>
      <c r="D14" s="10" t="inlineStr">
        <is>
          <t>Learning</t>
        </is>
      </c>
      <c r="E14" s="10" t="inlineStr">
        <is>
          <t>Books / Courses</t>
        </is>
      </c>
      <c r="F14" s="13" t="n">
        <v>149</v>
      </c>
      <c r="G14" s="10" t="inlineStr">
        <is>
          <t>Chase Freedom Credit Card</t>
        </is>
      </c>
      <c r="H14" s="10" t="inlineStr">
        <is>
          <t>Credit Card</t>
        </is>
      </c>
      <c r="I14" s="10" t="inlineStr">
        <is>
          <t>Paid</t>
        </is>
      </c>
      <c r="J14" s="10" t="inlineStr"/>
      <c r="K14" s="10">
        <f>TEXT(A14,"yyyy-mm")</f>
        <v/>
      </c>
      <c r="L14" s="10">
        <f>WEEKNUM(A14)</f>
        <v/>
      </c>
      <c r="M14" s="10">
        <f>IF(COUNTIFS(A:A,A14,B:B,B14,F:F,F14)&gt;1,"⚠ Possible Duplicate","")</f>
        <v/>
      </c>
    </row>
    <row r="15">
      <c r="A15" s="10" t="inlineStr">
        <is>
          <t>2026-05-12</t>
        </is>
      </c>
      <c r="B15" s="10" t="inlineStr">
        <is>
          <t>Mobile Phone Plan</t>
        </is>
      </c>
      <c r="C15" s="10" t="inlineStr">
        <is>
          <t>Expense</t>
        </is>
      </c>
      <c r="D15" s="10" t="inlineStr">
        <is>
          <t>Utilities</t>
        </is>
      </c>
      <c r="E15" s="10" t="inlineStr">
        <is>
          <t>Mobile Phone</t>
        </is>
      </c>
      <c r="F15" s="13" t="n">
        <v>120</v>
      </c>
      <c r="G15" s="10" t="inlineStr">
        <is>
          <t>Amex Blue Cash Card</t>
        </is>
      </c>
      <c r="H15" s="10" t="inlineStr">
        <is>
          <t>Credit Card</t>
        </is>
      </c>
      <c r="I15" s="10" t="inlineStr">
        <is>
          <t>Paid</t>
        </is>
      </c>
      <c r="J15" s="10" t="inlineStr">
        <is>
          <t>Mobile Phone Plan</t>
        </is>
      </c>
      <c r="K15" s="10">
        <f>TEXT(A15,"yyyy-mm")</f>
        <v/>
      </c>
      <c r="L15" s="10">
        <f>WEEKNUM(A15)</f>
        <v/>
      </c>
      <c r="M15" s="10">
        <f>IF(COUNTIFS(A:A,A15,B:B,B15,F:F,F15)&gt;1,"⚠ Possible Duplicate","")</f>
        <v/>
      </c>
      <c r="N15" s="10" t="inlineStr">
        <is>
          <t>Phone</t>
        </is>
      </c>
    </row>
    <row r="16">
      <c r="A16" s="10" t="inlineStr">
        <is>
          <t>2026-05-13</t>
        </is>
      </c>
      <c r="B16" s="10" t="inlineStr">
        <is>
          <t>Trader Joes</t>
        </is>
      </c>
      <c r="C16" s="10" t="inlineStr">
        <is>
          <t>Expense</t>
        </is>
      </c>
      <c r="D16" s="10" t="inlineStr">
        <is>
          <t>Food</t>
        </is>
      </c>
      <c r="E16" s="10" t="inlineStr">
        <is>
          <t>Groceries</t>
        </is>
      </c>
      <c r="F16" s="13" t="n">
        <v>96</v>
      </c>
      <c r="G16" s="10" t="inlineStr">
        <is>
          <t>Amex Blue Cash Card</t>
        </is>
      </c>
      <c r="H16" s="10" t="inlineStr">
        <is>
          <t>Credit Card</t>
        </is>
      </c>
      <c r="I16" s="10" t="inlineStr">
        <is>
          <t>Paid</t>
        </is>
      </c>
      <c r="J16" s="10" t="inlineStr"/>
      <c r="K16" s="10">
        <f>TEXT(A16,"yyyy-mm")</f>
        <v/>
      </c>
      <c r="L16" s="10">
        <f>WEEKNUM(A16)</f>
        <v/>
      </c>
      <c r="M16" s="10">
        <f>IF(COUNTIFS(A:A,A16,B:B,B16,F:F,F16)&gt;1,"⚠ Possible Duplicate","")</f>
        <v/>
      </c>
    </row>
    <row r="17">
      <c r="A17" s="10" t="inlineStr">
        <is>
          <t>2026-05-15</t>
        </is>
      </c>
      <c r="B17" s="10" t="inlineStr">
        <is>
          <t>Streaming Bundle</t>
        </is>
      </c>
      <c r="C17" s="10" t="inlineStr">
        <is>
          <t>Expense</t>
        </is>
      </c>
      <c r="D17" s="10" t="inlineStr">
        <is>
          <t>Subscriptions</t>
        </is>
      </c>
      <c r="E17" s="10" t="inlineStr">
        <is>
          <t>Streaming / Software</t>
        </is>
      </c>
      <c r="F17" s="13" t="n">
        <v>58</v>
      </c>
      <c r="G17" s="10" t="inlineStr">
        <is>
          <t>Amex Blue Cash Card</t>
        </is>
      </c>
      <c r="H17" s="10" t="inlineStr">
        <is>
          <t>Credit Card</t>
        </is>
      </c>
      <c r="I17" s="10" t="inlineStr">
        <is>
          <t>Paid</t>
        </is>
      </c>
      <c r="J17" s="10" t="inlineStr">
        <is>
          <t>Streaming Bundle</t>
        </is>
      </c>
      <c r="K17" s="10">
        <f>TEXT(A17,"yyyy-mm")</f>
        <v/>
      </c>
      <c r="L17" s="10">
        <f>WEEKNUM(A17)</f>
        <v/>
      </c>
      <c r="M17" s="10">
        <f>IF(COUNTIFS(A:A,A17,B:B,B17,F:F,F17)&gt;1,"⚠ Possible Duplicate","")</f>
        <v/>
      </c>
      <c r="N17" s="10" t="inlineStr">
        <is>
          <t>Streaming</t>
        </is>
      </c>
    </row>
    <row r="18">
      <c r="A18" s="10" t="inlineStr">
        <is>
          <t>2026-05-15</t>
        </is>
      </c>
      <c r="B18" s="10" t="inlineStr">
        <is>
          <t>May Paycheck 2</t>
        </is>
      </c>
      <c r="C18" s="10" t="inlineStr">
        <is>
          <t>Income</t>
        </is>
      </c>
      <c r="D18" s="10" t="inlineStr">
        <is>
          <t>Income</t>
        </is>
      </c>
      <c r="E18" s="10" t="inlineStr">
        <is>
          <t>Salary</t>
        </is>
      </c>
      <c r="F18" s="13" t="n">
        <v>5200</v>
      </c>
      <c r="G18" s="10" t="inlineStr">
        <is>
          <t>Chase Checking</t>
        </is>
      </c>
      <c r="H18" s="10" t="inlineStr">
        <is>
          <t>ACH</t>
        </is>
      </c>
      <c r="I18" s="10" t="inlineStr">
        <is>
          <t>Paid</t>
        </is>
      </c>
      <c r="J18" s="10" t="inlineStr">
        <is>
          <t>Biweekly Paycheck</t>
        </is>
      </c>
      <c r="K18" s="10">
        <f>TEXT(A18,"yyyy-mm")</f>
        <v/>
      </c>
      <c r="L18" s="10">
        <f>WEEKNUM(A18)</f>
        <v/>
      </c>
      <c r="M18" s="10">
        <f>IF(COUNTIFS(A:A,A18,B:B,B18,F:F,F18)&gt;1,"⚠ Possible Duplicate","")</f>
        <v/>
      </c>
      <c r="N18" s="10" t="inlineStr">
        <is>
          <t>Second paycheck</t>
        </is>
      </c>
    </row>
    <row r="19">
      <c r="A19" s="10" t="inlineStr">
        <is>
          <t>2026-05-17</t>
        </is>
      </c>
      <c r="B19" s="10" t="inlineStr">
        <is>
          <t>Target Household</t>
        </is>
      </c>
      <c r="C19" s="10" t="inlineStr">
        <is>
          <t>Expense</t>
        </is>
      </c>
      <c r="D19" s="10" t="inlineStr">
        <is>
          <t>Lifestyle</t>
        </is>
      </c>
      <c r="E19" s="10" t="inlineStr">
        <is>
          <t>Shopping</t>
        </is>
      </c>
      <c r="F19" s="13" t="n">
        <v>210</v>
      </c>
      <c r="G19" s="10" t="inlineStr">
        <is>
          <t>Chase Freedom Credit Card</t>
        </is>
      </c>
      <c r="H19" s="10" t="inlineStr">
        <is>
          <t>Credit Card</t>
        </is>
      </c>
      <c r="I19" s="10" t="inlineStr">
        <is>
          <t>Paid</t>
        </is>
      </c>
      <c r="J19" s="10" t="inlineStr"/>
      <c r="K19" s="10">
        <f>TEXT(A19,"yyyy-mm")</f>
        <v/>
      </c>
      <c r="L19" s="10">
        <f>WEEKNUM(A19)</f>
        <v/>
      </c>
      <c r="M19" s="10">
        <f>IF(COUNTIFS(A:A,A19,B:B,B19,F:F,F19)&gt;1,"⚠ Possible Duplicate","")</f>
        <v/>
      </c>
    </row>
    <row r="20">
      <c r="A20" s="10" t="inlineStr">
        <is>
          <t>2026-05-18</t>
        </is>
      </c>
      <c r="B20" s="10" t="inlineStr">
        <is>
          <t>Car Loan Payment</t>
        </is>
      </c>
      <c r="C20" s="10" t="inlineStr">
        <is>
          <t>Debt Payment</t>
        </is>
      </c>
      <c r="D20" s="10" t="inlineStr">
        <is>
          <t>Debt</t>
        </is>
      </c>
      <c r="E20" s="10" t="inlineStr">
        <is>
          <t>Auto Loan</t>
        </is>
      </c>
      <c r="F20" s="13" t="n">
        <v>450</v>
      </c>
      <c r="G20" s="10" t="inlineStr">
        <is>
          <t>Chase Checking</t>
        </is>
      </c>
      <c r="H20" s="10" t="inlineStr">
        <is>
          <t>ACH</t>
        </is>
      </c>
      <c r="I20" s="10" t="inlineStr">
        <is>
          <t>Paid</t>
        </is>
      </c>
      <c r="J20" s="10" t="inlineStr">
        <is>
          <t>Car Loan Payment</t>
        </is>
      </c>
      <c r="K20" s="10">
        <f>TEXT(A20,"yyyy-mm")</f>
        <v/>
      </c>
      <c r="L20" s="10">
        <f>WEEKNUM(A20)</f>
        <v/>
      </c>
      <c r="M20" s="10">
        <f>IF(COUNTIFS(A:A,A20,B:B,B20,F:F,F20)&gt;1,"⚠ Possible Duplicate","")</f>
        <v/>
      </c>
      <c r="N20" s="10" t="inlineStr">
        <is>
          <t>Debt</t>
        </is>
      </c>
    </row>
    <row r="21">
      <c r="A21" s="10" t="inlineStr">
        <is>
          <t>2026-05-20</t>
        </is>
      </c>
      <c r="B21" s="10" t="inlineStr">
        <is>
          <t>Doctor Visit Copay</t>
        </is>
      </c>
      <c r="C21" s="10" t="inlineStr">
        <is>
          <t>Expense</t>
        </is>
      </c>
      <c r="D21" s="10" t="inlineStr">
        <is>
          <t>Health</t>
        </is>
      </c>
      <c r="E21" s="10" t="inlineStr">
        <is>
          <t>Medical</t>
        </is>
      </c>
      <c r="F21" s="13" t="n">
        <v>45</v>
      </c>
      <c r="G21" s="10" t="inlineStr">
        <is>
          <t>Chase Freedom Credit Card</t>
        </is>
      </c>
      <c r="H21" s="10" t="inlineStr">
        <is>
          <t>Credit Card</t>
        </is>
      </c>
      <c r="I21" s="10" t="inlineStr">
        <is>
          <t>Paid</t>
        </is>
      </c>
      <c r="J21" s="10" t="inlineStr"/>
      <c r="K21" s="10">
        <f>TEXT(A21,"yyyy-mm")</f>
        <v/>
      </c>
      <c r="L21" s="10">
        <f>WEEKNUM(A21)</f>
        <v/>
      </c>
      <c r="M21" s="10">
        <f>IF(COUNTIFS(A:A,A21,B:B,B21,F:F,F21)&gt;1,"⚠ Possible Duplicate","")</f>
        <v/>
      </c>
    </row>
    <row r="22">
      <c r="A22" s="10" t="n"/>
      <c r="B22" s="10" t="n"/>
      <c r="C22" s="10" t="n"/>
      <c r="D22" s="10" t="n"/>
      <c r="E22" s="10" t="n"/>
      <c r="F22" s="13" t="n"/>
      <c r="G22" s="10" t="n"/>
      <c r="H22" s="10" t="n"/>
      <c r="I22" s="10" t="n"/>
      <c r="J22" s="10" t="n"/>
      <c r="K22" s="10">
        <f>IF(A22="","",TEXT(A22,"yyyy-mm"))</f>
        <v/>
      </c>
      <c r="L22" s="10">
        <f>IF(A22="","",WEEKNUM(A22))</f>
        <v/>
      </c>
      <c r="M22" s="10">
        <f>IF(A22="","",IF(COUNTIFS(A:A,A22,B:B,B22,F:F,F22)&gt;1,"⚠ Possible Duplicate",""))</f>
        <v/>
      </c>
      <c r="N22" s="10" t="n"/>
    </row>
    <row r="23">
      <c r="A23" s="10" t="n"/>
      <c r="B23" s="10" t="n"/>
      <c r="C23" s="10" t="n"/>
      <c r="D23" s="10" t="n"/>
      <c r="E23" s="10" t="n"/>
      <c r="F23" s="13" t="n"/>
      <c r="G23" s="10" t="n"/>
      <c r="H23" s="10" t="n"/>
      <c r="I23" s="10" t="n"/>
      <c r="J23" s="10" t="n"/>
      <c r="K23" s="10">
        <f>IF(A23="","",TEXT(A23,"yyyy-mm"))</f>
        <v/>
      </c>
      <c r="L23" s="10">
        <f>IF(A23="","",WEEKNUM(A23))</f>
        <v/>
      </c>
      <c r="M23" s="10">
        <f>IF(A23="","",IF(COUNTIFS(A:A,A23,B:B,B23,F:F,F23)&gt;1,"⚠ Possible Duplicate",""))</f>
        <v/>
      </c>
      <c r="N23" s="10" t="n"/>
    </row>
    <row r="24">
      <c r="A24" s="10" t="n"/>
      <c r="B24" s="10" t="n"/>
      <c r="C24" s="10" t="n"/>
      <c r="D24" s="10" t="n"/>
      <c r="E24" s="10" t="n"/>
      <c r="F24" s="13" t="n"/>
      <c r="G24" s="10" t="n"/>
      <c r="H24" s="10" t="n"/>
      <c r="I24" s="10" t="n"/>
      <c r="J24" s="10" t="n"/>
      <c r="K24" s="10">
        <f>IF(A24="","",TEXT(A24,"yyyy-mm"))</f>
        <v/>
      </c>
      <c r="L24" s="10">
        <f>IF(A24="","",WEEKNUM(A24))</f>
        <v/>
      </c>
      <c r="M24" s="10">
        <f>IF(A24="","",IF(COUNTIFS(A:A,A24,B:B,B24,F:F,F24)&gt;1,"⚠ Possible Duplicate",""))</f>
        <v/>
      </c>
      <c r="N24" s="10" t="n"/>
    </row>
    <row r="25">
      <c r="A25" s="10" t="n"/>
      <c r="B25" s="10" t="n"/>
      <c r="C25" s="10" t="n"/>
      <c r="D25" s="10" t="n"/>
      <c r="E25" s="10" t="n"/>
      <c r="F25" s="13" t="n"/>
      <c r="G25" s="10" t="n"/>
      <c r="H25" s="10" t="n"/>
      <c r="I25" s="10" t="n"/>
      <c r="J25" s="10" t="n"/>
      <c r="K25" s="10">
        <f>IF(A25="","",TEXT(A25,"yyyy-mm"))</f>
        <v/>
      </c>
      <c r="L25" s="10">
        <f>IF(A25="","",WEEKNUM(A25))</f>
        <v/>
      </c>
      <c r="M25" s="10">
        <f>IF(A25="","",IF(COUNTIFS(A:A,A25,B:B,B25,F:F,F25)&gt;1,"⚠ Possible Duplicate",""))</f>
        <v/>
      </c>
      <c r="N25" s="10" t="n"/>
    </row>
    <row r="26">
      <c r="A26" s="10" t="n"/>
      <c r="B26" s="10" t="n"/>
      <c r="C26" s="10" t="n"/>
      <c r="D26" s="10" t="n"/>
      <c r="E26" s="10" t="n"/>
      <c r="F26" s="13" t="n"/>
      <c r="G26" s="10" t="n"/>
      <c r="H26" s="10" t="n"/>
      <c r="I26" s="10" t="n"/>
      <c r="J26" s="10" t="n"/>
      <c r="K26" s="10">
        <f>IF(A26="","",TEXT(A26,"yyyy-mm"))</f>
        <v/>
      </c>
      <c r="L26" s="10">
        <f>IF(A26="","",WEEKNUM(A26))</f>
        <v/>
      </c>
      <c r="M26" s="10">
        <f>IF(A26="","",IF(COUNTIFS(A:A,A26,B:B,B26,F:F,F26)&gt;1,"⚠ Possible Duplicate",""))</f>
        <v/>
      </c>
      <c r="N26" s="10" t="n"/>
    </row>
    <row r="27">
      <c r="A27" s="10" t="n"/>
      <c r="B27" s="10" t="n"/>
      <c r="C27" s="10" t="n"/>
      <c r="D27" s="10" t="n"/>
      <c r="E27" s="10" t="n"/>
      <c r="F27" s="13" t="n"/>
      <c r="G27" s="10" t="n"/>
      <c r="H27" s="10" t="n"/>
      <c r="I27" s="10" t="n"/>
      <c r="J27" s="10" t="n"/>
      <c r="K27" s="10">
        <f>IF(A27="","",TEXT(A27,"yyyy-mm"))</f>
        <v/>
      </c>
      <c r="L27" s="10">
        <f>IF(A27="","",WEEKNUM(A27))</f>
        <v/>
      </c>
      <c r="M27" s="10">
        <f>IF(A27="","",IF(COUNTIFS(A:A,A27,B:B,B27,F:F,F27)&gt;1,"⚠ Possible Duplicate",""))</f>
        <v/>
      </c>
      <c r="N27" s="10" t="n"/>
    </row>
    <row r="28">
      <c r="A28" s="10" t="n"/>
      <c r="B28" s="10" t="n"/>
      <c r="C28" s="10" t="n"/>
      <c r="D28" s="10" t="n"/>
      <c r="E28" s="10" t="n"/>
      <c r="F28" s="13" t="n"/>
      <c r="G28" s="10" t="n"/>
      <c r="H28" s="10" t="n"/>
      <c r="I28" s="10" t="n"/>
      <c r="J28" s="10" t="n"/>
      <c r="K28" s="10">
        <f>IF(A28="","",TEXT(A28,"yyyy-mm"))</f>
        <v/>
      </c>
      <c r="L28" s="10">
        <f>IF(A28="","",WEEKNUM(A28))</f>
        <v/>
      </c>
      <c r="M28" s="10">
        <f>IF(A28="","",IF(COUNTIFS(A:A,A28,B:B,B28,F:F,F28)&gt;1,"⚠ Possible Duplicate",""))</f>
        <v/>
      </c>
      <c r="N28" s="10" t="n"/>
    </row>
    <row r="29">
      <c r="A29" s="10" t="n"/>
      <c r="B29" s="10" t="n"/>
      <c r="C29" s="10" t="n"/>
      <c r="D29" s="10" t="n"/>
      <c r="E29" s="10" t="n"/>
      <c r="F29" s="13" t="n"/>
      <c r="G29" s="10" t="n"/>
      <c r="H29" s="10" t="n"/>
      <c r="I29" s="10" t="n"/>
      <c r="J29" s="10" t="n"/>
      <c r="K29" s="10">
        <f>IF(A29="","",TEXT(A29,"yyyy-mm"))</f>
        <v/>
      </c>
      <c r="L29" s="10">
        <f>IF(A29="","",WEEKNUM(A29))</f>
        <v/>
      </c>
      <c r="M29" s="10">
        <f>IF(A29="","",IF(COUNTIFS(A:A,A29,B:B,B29,F:F,F29)&gt;1,"⚠ Possible Duplicate",""))</f>
        <v/>
      </c>
      <c r="N29" s="10" t="n"/>
    </row>
    <row r="30">
      <c r="A30" s="10" t="n"/>
      <c r="B30" s="10" t="n"/>
      <c r="C30" s="10" t="n"/>
      <c r="D30" s="10" t="n"/>
      <c r="E30" s="10" t="n"/>
      <c r="F30" s="13" t="n"/>
      <c r="G30" s="10" t="n"/>
      <c r="H30" s="10" t="n"/>
      <c r="I30" s="10" t="n"/>
      <c r="J30" s="10" t="n"/>
      <c r="K30" s="10">
        <f>IF(A30="","",TEXT(A30,"yyyy-mm"))</f>
        <v/>
      </c>
      <c r="L30" s="10">
        <f>IF(A30="","",WEEKNUM(A30))</f>
        <v/>
      </c>
      <c r="M30" s="10">
        <f>IF(A30="","",IF(COUNTIFS(A:A,A30,B:B,B30,F:F,F30)&gt;1,"⚠ Possible Duplicate",""))</f>
        <v/>
      </c>
      <c r="N30" s="10" t="n"/>
    </row>
    <row r="31">
      <c r="A31" s="10" t="n"/>
      <c r="B31" s="10" t="n"/>
      <c r="C31" s="10" t="n"/>
      <c r="D31" s="10" t="n"/>
      <c r="E31" s="10" t="n"/>
      <c r="F31" s="13" t="n"/>
      <c r="G31" s="10" t="n"/>
      <c r="H31" s="10" t="n"/>
      <c r="I31" s="10" t="n"/>
      <c r="J31" s="10" t="n"/>
      <c r="K31" s="10">
        <f>IF(A31="","",TEXT(A31,"yyyy-mm"))</f>
        <v/>
      </c>
      <c r="L31" s="10">
        <f>IF(A31="","",WEEKNUM(A31))</f>
        <v/>
      </c>
      <c r="M31" s="10">
        <f>IF(A31="","",IF(COUNTIFS(A:A,A31,B:B,B31,F:F,F31)&gt;1,"⚠ Possible Duplicate",""))</f>
        <v/>
      </c>
      <c r="N31" s="10" t="n"/>
    </row>
    <row r="32">
      <c r="A32" s="10" t="n"/>
      <c r="B32" s="10" t="n"/>
      <c r="C32" s="10" t="n"/>
      <c r="D32" s="10" t="n"/>
      <c r="E32" s="10" t="n"/>
      <c r="F32" s="13" t="n"/>
      <c r="G32" s="10" t="n"/>
      <c r="H32" s="10" t="n"/>
      <c r="I32" s="10" t="n"/>
      <c r="J32" s="10" t="n"/>
      <c r="K32" s="10">
        <f>IF(A32="","",TEXT(A32,"yyyy-mm"))</f>
        <v/>
      </c>
      <c r="L32" s="10">
        <f>IF(A32="","",WEEKNUM(A32))</f>
        <v/>
      </c>
      <c r="M32" s="10">
        <f>IF(A32="","",IF(COUNTIFS(A:A,A32,B:B,B32,F:F,F32)&gt;1,"⚠ Possible Duplicate",""))</f>
        <v/>
      </c>
      <c r="N32" s="10" t="n"/>
    </row>
    <row r="33">
      <c r="A33" s="10" t="n"/>
      <c r="B33" s="10" t="n"/>
      <c r="C33" s="10" t="n"/>
      <c r="D33" s="10" t="n"/>
      <c r="E33" s="10" t="n"/>
      <c r="F33" s="13" t="n"/>
      <c r="G33" s="10" t="n"/>
      <c r="H33" s="10" t="n"/>
      <c r="I33" s="10" t="n"/>
      <c r="J33" s="10" t="n"/>
      <c r="K33" s="10">
        <f>IF(A33="","",TEXT(A33,"yyyy-mm"))</f>
        <v/>
      </c>
      <c r="L33" s="10">
        <f>IF(A33="","",WEEKNUM(A33))</f>
        <v/>
      </c>
      <c r="M33" s="10">
        <f>IF(A33="","",IF(COUNTIFS(A:A,A33,B:B,B33,F:F,F33)&gt;1,"⚠ Possible Duplicate",""))</f>
        <v/>
      </c>
      <c r="N33" s="10" t="n"/>
    </row>
    <row r="34">
      <c r="A34" s="10" t="n"/>
      <c r="B34" s="10" t="n"/>
      <c r="C34" s="10" t="n"/>
      <c r="D34" s="10" t="n"/>
      <c r="E34" s="10" t="n"/>
      <c r="F34" s="13" t="n"/>
      <c r="G34" s="10" t="n"/>
      <c r="H34" s="10" t="n"/>
      <c r="I34" s="10" t="n"/>
      <c r="J34" s="10" t="n"/>
      <c r="K34" s="10">
        <f>IF(A34="","",TEXT(A34,"yyyy-mm"))</f>
        <v/>
      </c>
      <c r="L34" s="10">
        <f>IF(A34="","",WEEKNUM(A34))</f>
        <v/>
      </c>
      <c r="M34" s="10">
        <f>IF(A34="","",IF(COUNTIFS(A:A,A34,B:B,B34,F:F,F34)&gt;1,"⚠ Possible Duplicate",""))</f>
        <v/>
      </c>
      <c r="N34" s="10" t="n"/>
    </row>
    <row r="35">
      <c r="A35" s="10" t="n"/>
      <c r="B35" s="10" t="n"/>
      <c r="C35" s="10" t="n"/>
      <c r="D35" s="10" t="n"/>
      <c r="E35" s="10" t="n"/>
      <c r="F35" s="13" t="n"/>
      <c r="G35" s="10" t="n"/>
      <c r="H35" s="10" t="n"/>
      <c r="I35" s="10" t="n"/>
      <c r="J35" s="10" t="n"/>
      <c r="K35" s="10">
        <f>IF(A35="","",TEXT(A35,"yyyy-mm"))</f>
        <v/>
      </c>
      <c r="L35" s="10">
        <f>IF(A35="","",WEEKNUM(A35))</f>
        <v/>
      </c>
      <c r="M35" s="10">
        <f>IF(A35="","",IF(COUNTIFS(A:A,A35,B:B,B35,F:F,F35)&gt;1,"⚠ Possible Duplicate",""))</f>
        <v/>
      </c>
      <c r="N35" s="10" t="n"/>
    </row>
    <row r="36">
      <c r="A36" s="10" t="n"/>
      <c r="B36" s="10" t="n"/>
      <c r="C36" s="10" t="n"/>
      <c r="D36" s="10" t="n"/>
      <c r="E36" s="10" t="n"/>
      <c r="F36" s="13" t="n"/>
      <c r="G36" s="10" t="n"/>
      <c r="H36" s="10" t="n"/>
      <c r="I36" s="10" t="n"/>
      <c r="J36" s="10" t="n"/>
      <c r="K36" s="10">
        <f>IF(A36="","",TEXT(A36,"yyyy-mm"))</f>
        <v/>
      </c>
      <c r="L36" s="10">
        <f>IF(A36="","",WEEKNUM(A36))</f>
        <v/>
      </c>
      <c r="M36" s="10">
        <f>IF(A36="","",IF(COUNTIFS(A:A,A36,B:B,B36,F:F,F36)&gt;1,"⚠ Possible Duplicate",""))</f>
        <v/>
      </c>
      <c r="N36" s="10" t="n"/>
    </row>
    <row r="37">
      <c r="A37" s="10" t="n"/>
      <c r="B37" s="10" t="n"/>
      <c r="C37" s="10" t="n"/>
      <c r="D37" s="10" t="n"/>
      <c r="E37" s="10" t="n"/>
      <c r="F37" s="13" t="n"/>
      <c r="G37" s="10" t="n"/>
      <c r="H37" s="10" t="n"/>
      <c r="I37" s="10" t="n"/>
      <c r="J37" s="10" t="n"/>
      <c r="K37" s="10">
        <f>IF(A37="","",TEXT(A37,"yyyy-mm"))</f>
        <v/>
      </c>
      <c r="L37" s="10">
        <f>IF(A37="","",WEEKNUM(A37))</f>
        <v/>
      </c>
      <c r="M37" s="10">
        <f>IF(A37="","",IF(COUNTIFS(A:A,A37,B:B,B37,F:F,F37)&gt;1,"⚠ Possible Duplicate",""))</f>
        <v/>
      </c>
      <c r="N37" s="10" t="n"/>
    </row>
    <row r="38">
      <c r="A38" s="10" t="n"/>
      <c r="B38" s="10" t="n"/>
      <c r="C38" s="10" t="n"/>
      <c r="D38" s="10" t="n"/>
      <c r="E38" s="10" t="n"/>
      <c r="F38" s="13" t="n"/>
      <c r="G38" s="10" t="n"/>
      <c r="H38" s="10" t="n"/>
      <c r="I38" s="10" t="n"/>
      <c r="J38" s="10" t="n"/>
      <c r="K38" s="10">
        <f>IF(A38="","",TEXT(A38,"yyyy-mm"))</f>
        <v/>
      </c>
      <c r="L38" s="10">
        <f>IF(A38="","",WEEKNUM(A38))</f>
        <v/>
      </c>
      <c r="M38" s="10">
        <f>IF(A38="","",IF(COUNTIFS(A:A,A38,B:B,B38,F:F,F38)&gt;1,"⚠ Possible Duplicate",""))</f>
        <v/>
      </c>
      <c r="N38" s="10" t="n"/>
    </row>
    <row r="39">
      <c r="A39" s="10" t="n"/>
      <c r="B39" s="10" t="n"/>
      <c r="C39" s="10" t="n"/>
      <c r="D39" s="10" t="n"/>
      <c r="E39" s="10" t="n"/>
      <c r="F39" s="13" t="n"/>
      <c r="G39" s="10" t="n"/>
      <c r="H39" s="10" t="n"/>
      <c r="I39" s="10" t="n"/>
      <c r="J39" s="10" t="n"/>
      <c r="K39" s="10">
        <f>IF(A39="","",TEXT(A39,"yyyy-mm"))</f>
        <v/>
      </c>
      <c r="L39" s="10">
        <f>IF(A39="","",WEEKNUM(A39))</f>
        <v/>
      </c>
      <c r="M39" s="10">
        <f>IF(A39="","",IF(COUNTIFS(A:A,A39,B:B,B39,F:F,F39)&gt;1,"⚠ Possible Duplicate",""))</f>
        <v/>
      </c>
      <c r="N39" s="10" t="n"/>
    </row>
    <row r="40">
      <c r="A40" s="10" t="n"/>
      <c r="B40" s="10" t="n"/>
      <c r="C40" s="10" t="n"/>
      <c r="D40" s="10" t="n"/>
      <c r="E40" s="10" t="n"/>
      <c r="F40" s="13" t="n"/>
      <c r="G40" s="10" t="n"/>
      <c r="H40" s="10" t="n"/>
      <c r="I40" s="10" t="n"/>
      <c r="J40" s="10" t="n"/>
      <c r="K40" s="10">
        <f>IF(A40="","",TEXT(A40,"yyyy-mm"))</f>
        <v/>
      </c>
      <c r="L40" s="10">
        <f>IF(A40="","",WEEKNUM(A40))</f>
        <v/>
      </c>
      <c r="M40" s="10">
        <f>IF(A40="","",IF(COUNTIFS(A:A,A40,B:B,B40,F:F,F40)&gt;1,"⚠ Possible Duplicate",""))</f>
        <v/>
      </c>
      <c r="N40" s="10" t="n"/>
    </row>
    <row r="41">
      <c r="A41" s="10" t="n"/>
      <c r="B41" s="10" t="n"/>
      <c r="C41" s="10" t="n"/>
      <c r="D41" s="10" t="n"/>
      <c r="E41" s="10" t="n"/>
      <c r="F41" s="13" t="n"/>
      <c r="G41" s="10" t="n"/>
      <c r="H41" s="10" t="n"/>
      <c r="I41" s="10" t="n"/>
      <c r="J41" s="10" t="n"/>
      <c r="K41" s="10">
        <f>IF(A41="","",TEXT(A41,"yyyy-mm"))</f>
        <v/>
      </c>
      <c r="L41" s="10">
        <f>IF(A41="","",WEEKNUM(A41))</f>
        <v/>
      </c>
      <c r="M41" s="10">
        <f>IF(A41="","",IF(COUNTIFS(A:A,A41,B:B,B41,F:F,F41)&gt;1,"⚠ Possible Duplicate",""))</f>
        <v/>
      </c>
      <c r="N41" s="10" t="n"/>
    </row>
    <row r="42">
      <c r="A42" s="10" t="n"/>
      <c r="B42" s="10" t="n"/>
      <c r="C42" s="10" t="n"/>
      <c r="D42" s="10" t="n"/>
      <c r="E42" s="10" t="n"/>
      <c r="F42" s="13" t="n"/>
      <c r="G42" s="10" t="n"/>
      <c r="H42" s="10" t="n"/>
      <c r="I42" s="10" t="n"/>
      <c r="J42" s="10" t="n"/>
      <c r="K42" s="10">
        <f>IF(A42="","",TEXT(A42,"yyyy-mm"))</f>
        <v/>
      </c>
      <c r="L42" s="10">
        <f>IF(A42="","",WEEKNUM(A42))</f>
        <v/>
      </c>
      <c r="M42" s="10">
        <f>IF(A42="","",IF(COUNTIFS(A:A,A42,B:B,B42,F:F,F42)&gt;1,"⚠ Possible Duplicate",""))</f>
        <v/>
      </c>
      <c r="N42" s="10" t="n"/>
    </row>
    <row r="43">
      <c r="A43" s="10" t="n"/>
      <c r="B43" s="10" t="n"/>
      <c r="C43" s="10" t="n"/>
      <c r="D43" s="10" t="n"/>
      <c r="E43" s="10" t="n"/>
      <c r="F43" s="13" t="n"/>
      <c r="G43" s="10" t="n"/>
      <c r="H43" s="10" t="n"/>
      <c r="I43" s="10" t="n"/>
      <c r="J43" s="10" t="n"/>
      <c r="K43" s="10">
        <f>IF(A43="","",TEXT(A43,"yyyy-mm"))</f>
        <v/>
      </c>
      <c r="L43" s="10">
        <f>IF(A43="","",WEEKNUM(A43))</f>
        <v/>
      </c>
      <c r="M43" s="10">
        <f>IF(A43="","",IF(COUNTIFS(A:A,A43,B:B,B43,F:F,F43)&gt;1,"⚠ Possible Duplicate",""))</f>
        <v/>
      </c>
      <c r="N43" s="10" t="n"/>
    </row>
    <row r="44">
      <c r="A44" s="10" t="n"/>
      <c r="B44" s="10" t="n"/>
      <c r="C44" s="10" t="n"/>
      <c r="D44" s="10" t="n"/>
      <c r="E44" s="10" t="n"/>
      <c r="F44" s="13" t="n"/>
      <c r="G44" s="10" t="n"/>
      <c r="H44" s="10" t="n"/>
      <c r="I44" s="10" t="n"/>
      <c r="J44" s="10" t="n"/>
      <c r="K44" s="10">
        <f>IF(A44="","",TEXT(A44,"yyyy-mm"))</f>
        <v/>
      </c>
      <c r="L44" s="10">
        <f>IF(A44="","",WEEKNUM(A44))</f>
        <v/>
      </c>
      <c r="M44" s="10">
        <f>IF(A44="","",IF(COUNTIFS(A:A,A44,B:B,B44,F:F,F44)&gt;1,"⚠ Possible Duplicate",""))</f>
        <v/>
      </c>
      <c r="N44" s="10" t="n"/>
    </row>
    <row r="45">
      <c r="A45" s="10" t="n"/>
      <c r="B45" s="10" t="n"/>
      <c r="C45" s="10" t="n"/>
      <c r="D45" s="10" t="n"/>
      <c r="E45" s="10" t="n"/>
      <c r="F45" s="13" t="n"/>
      <c r="G45" s="10" t="n"/>
      <c r="H45" s="10" t="n"/>
      <c r="I45" s="10" t="n"/>
      <c r="J45" s="10" t="n"/>
      <c r="K45" s="10">
        <f>IF(A45="","",TEXT(A45,"yyyy-mm"))</f>
        <v/>
      </c>
      <c r="L45" s="10">
        <f>IF(A45="","",WEEKNUM(A45))</f>
        <v/>
      </c>
      <c r="M45" s="10">
        <f>IF(A45="","",IF(COUNTIFS(A:A,A45,B:B,B45,F:F,F45)&gt;1,"⚠ Possible Duplicate",""))</f>
        <v/>
      </c>
      <c r="N45" s="10" t="n"/>
    </row>
    <row r="46">
      <c r="A46" s="10" t="n"/>
      <c r="B46" s="10" t="n"/>
      <c r="C46" s="10" t="n"/>
      <c r="D46" s="10" t="n"/>
      <c r="E46" s="10" t="n"/>
      <c r="F46" s="13" t="n"/>
      <c r="G46" s="10" t="n"/>
      <c r="H46" s="10" t="n"/>
      <c r="I46" s="10" t="n"/>
      <c r="J46" s="10" t="n"/>
      <c r="K46" s="10">
        <f>IF(A46="","",TEXT(A46,"yyyy-mm"))</f>
        <v/>
      </c>
      <c r="L46" s="10">
        <f>IF(A46="","",WEEKNUM(A46))</f>
        <v/>
      </c>
      <c r="M46" s="10">
        <f>IF(A46="","",IF(COUNTIFS(A:A,A46,B:B,B46,F:F,F46)&gt;1,"⚠ Possible Duplicate",""))</f>
        <v/>
      </c>
      <c r="N46" s="10" t="n"/>
    </row>
    <row r="47">
      <c r="A47" s="10" t="n"/>
      <c r="B47" s="10" t="n"/>
      <c r="C47" s="10" t="n"/>
      <c r="D47" s="10" t="n"/>
      <c r="E47" s="10" t="n"/>
      <c r="F47" s="13" t="n"/>
      <c r="G47" s="10" t="n"/>
      <c r="H47" s="10" t="n"/>
      <c r="I47" s="10" t="n"/>
      <c r="J47" s="10" t="n"/>
      <c r="K47" s="10">
        <f>IF(A47="","",TEXT(A47,"yyyy-mm"))</f>
        <v/>
      </c>
      <c r="L47" s="10">
        <f>IF(A47="","",WEEKNUM(A47))</f>
        <v/>
      </c>
      <c r="M47" s="10">
        <f>IF(A47="","",IF(COUNTIFS(A:A,A47,B:B,B47,F:F,F47)&gt;1,"⚠ Possible Duplicate",""))</f>
        <v/>
      </c>
      <c r="N47" s="10" t="n"/>
    </row>
    <row r="48">
      <c r="A48" s="10" t="n"/>
      <c r="B48" s="10" t="n"/>
      <c r="C48" s="10" t="n"/>
      <c r="D48" s="10" t="n"/>
      <c r="E48" s="10" t="n"/>
      <c r="F48" s="13" t="n"/>
      <c r="G48" s="10" t="n"/>
      <c r="H48" s="10" t="n"/>
      <c r="I48" s="10" t="n"/>
      <c r="J48" s="10" t="n"/>
      <c r="K48" s="10">
        <f>IF(A48="","",TEXT(A48,"yyyy-mm"))</f>
        <v/>
      </c>
      <c r="L48" s="10">
        <f>IF(A48="","",WEEKNUM(A48))</f>
        <v/>
      </c>
      <c r="M48" s="10">
        <f>IF(A48="","",IF(COUNTIFS(A:A,A48,B:B,B48,F:F,F48)&gt;1,"⚠ Possible Duplicate",""))</f>
        <v/>
      </c>
      <c r="N48" s="10" t="n"/>
    </row>
    <row r="49">
      <c r="A49" s="10" t="n"/>
      <c r="B49" s="10" t="n"/>
      <c r="C49" s="10" t="n"/>
      <c r="D49" s="10" t="n"/>
      <c r="E49" s="10" t="n"/>
      <c r="F49" s="13" t="n"/>
      <c r="G49" s="10" t="n"/>
      <c r="H49" s="10" t="n"/>
      <c r="I49" s="10" t="n"/>
      <c r="J49" s="10" t="n"/>
      <c r="K49" s="10">
        <f>IF(A49="","",TEXT(A49,"yyyy-mm"))</f>
        <v/>
      </c>
      <c r="L49" s="10">
        <f>IF(A49="","",WEEKNUM(A49))</f>
        <v/>
      </c>
      <c r="M49" s="10">
        <f>IF(A49="","",IF(COUNTIFS(A:A,A49,B:B,B49,F:F,F49)&gt;1,"⚠ Possible Duplicate",""))</f>
        <v/>
      </c>
      <c r="N49" s="10" t="n"/>
    </row>
    <row r="50">
      <c r="A50" s="10" t="n"/>
      <c r="B50" s="10" t="n"/>
      <c r="C50" s="10" t="n"/>
      <c r="D50" s="10" t="n"/>
      <c r="E50" s="10" t="n"/>
      <c r="F50" s="13" t="n"/>
      <c r="G50" s="10" t="n"/>
      <c r="H50" s="10" t="n"/>
      <c r="I50" s="10" t="n"/>
      <c r="J50" s="10" t="n"/>
      <c r="K50" s="10">
        <f>IF(A50="","",TEXT(A50,"yyyy-mm"))</f>
        <v/>
      </c>
      <c r="L50" s="10">
        <f>IF(A50="","",WEEKNUM(A50))</f>
        <v/>
      </c>
      <c r="M50" s="10">
        <f>IF(A50="","",IF(COUNTIFS(A:A,A50,B:B,B50,F:F,F50)&gt;1,"⚠ Possible Duplicate",""))</f>
        <v/>
      </c>
      <c r="N50" s="10" t="n"/>
    </row>
    <row r="51">
      <c r="A51" s="10" t="n"/>
      <c r="B51" s="10" t="n"/>
      <c r="C51" s="10" t="n"/>
      <c r="D51" s="10" t="n"/>
      <c r="E51" s="10" t="n"/>
      <c r="F51" s="13" t="n"/>
      <c r="G51" s="10" t="n"/>
      <c r="H51" s="10" t="n"/>
      <c r="I51" s="10" t="n"/>
      <c r="J51" s="10" t="n"/>
      <c r="K51" s="10">
        <f>IF(A51="","",TEXT(A51,"yyyy-mm"))</f>
        <v/>
      </c>
      <c r="L51" s="10">
        <f>IF(A51="","",WEEKNUM(A51))</f>
        <v/>
      </c>
      <c r="M51" s="10">
        <f>IF(A51="","",IF(COUNTIFS(A:A,A51,B:B,B51,F:F,F51)&gt;1,"⚠ Possible Duplicate",""))</f>
        <v/>
      </c>
      <c r="N51" s="10" t="n"/>
    </row>
    <row r="52">
      <c r="A52" s="10" t="n"/>
      <c r="B52" s="10" t="n"/>
      <c r="C52" s="10" t="n"/>
      <c r="D52" s="10" t="n"/>
      <c r="E52" s="10" t="n"/>
      <c r="F52" s="13" t="n"/>
      <c r="G52" s="10" t="n"/>
      <c r="H52" s="10" t="n"/>
      <c r="I52" s="10" t="n"/>
      <c r="J52" s="10" t="n"/>
      <c r="K52" s="10">
        <f>IF(A52="","",TEXT(A52,"yyyy-mm"))</f>
        <v/>
      </c>
      <c r="L52" s="10">
        <f>IF(A52="","",WEEKNUM(A52))</f>
        <v/>
      </c>
      <c r="M52" s="10">
        <f>IF(A52="","",IF(COUNTIFS(A:A,A52,B:B,B52,F:F,F52)&gt;1,"⚠ Possible Duplicate",""))</f>
        <v/>
      </c>
      <c r="N52" s="10" t="n"/>
    </row>
    <row r="53">
      <c r="A53" s="10" t="n"/>
      <c r="B53" s="10" t="n"/>
      <c r="C53" s="10" t="n"/>
      <c r="D53" s="10" t="n"/>
      <c r="E53" s="10" t="n"/>
      <c r="F53" s="13" t="n"/>
      <c r="G53" s="10" t="n"/>
      <c r="H53" s="10" t="n"/>
      <c r="I53" s="10" t="n"/>
      <c r="J53" s="10" t="n"/>
      <c r="K53" s="10">
        <f>IF(A53="","",TEXT(A53,"yyyy-mm"))</f>
        <v/>
      </c>
      <c r="L53" s="10">
        <f>IF(A53="","",WEEKNUM(A53))</f>
        <v/>
      </c>
      <c r="M53" s="10">
        <f>IF(A53="","",IF(COUNTIFS(A:A,A53,B:B,B53,F:F,F53)&gt;1,"⚠ Possible Duplicate",""))</f>
        <v/>
      </c>
      <c r="N53" s="10" t="n"/>
    </row>
    <row r="54">
      <c r="A54" s="10" t="n"/>
      <c r="B54" s="10" t="n"/>
      <c r="C54" s="10" t="n"/>
      <c r="D54" s="10" t="n"/>
      <c r="E54" s="10" t="n"/>
      <c r="F54" s="13" t="n"/>
      <c r="G54" s="10" t="n"/>
      <c r="H54" s="10" t="n"/>
      <c r="I54" s="10" t="n"/>
      <c r="J54" s="10" t="n"/>
      <c r="K54" s="10">
        <f>IF(A54="","",TEXT(A54,"yyyy-mm"))</f>
        <v/>
      </c>
      <c r="L54" s="10">
        <f>IF(A54="","",WEEKNUM(A54))</f>
        <v/>
      </c>
      <c r="M54" s="10">
        <f>IF(A54="","",IF(COUNTIFS(A:A,A54,B:B,B54,F:F,F54)&gt;1,"⚠ Possible Duplicate",""))</f>
        <v/>
      </c>
      <c r="N54" s="10" t="n"/>
    </row>
    <row r="55">
      <c r="A55" s="10" t="n"/>
      <c r="B55" s="10" t="n"/>
      <c r="C55" s="10" t="n"/>
      <c r="D55" s="10" t="n"/>
      <c r="E55" s="10" t="n"/>
      <c r="F55" s="13" t="n"/>
      <c r="G55" s="10" t="n"/>
      <c r="H55" s="10" t="n"/>
      <c r="I55" s="10" t="n"/>
      <c r="J55" s="10" t="n"/>
      <c r="K55" s="10">
        <f>IF(A55="","",TEXT(A55,"yyyy-mm"))</f>
        <v/>
      </c>
      <c r="L55" s="10">
        <f>IF(A55="","",WEEKNUM(A55))</f>
        <v/>
      </c>
      <c r="M55" s="10">
        <f>IF(A55="","",IF(COUNTIFS(A:A,A55,B:B,B55,F:F,F55)&gt;1,"⚠ Possible Duplicate",""))</f>
        <v/>
      </c>
      <c r="N55" s="10" t="n"/>
    </row>
    <row r="56">
      <c r="A56" s="10" t="n"/>
      <c r="B56" s="10" t="n"/>
      <c r="C56" s="10" t="n"/>
      <c r="D56" s="10" t="n"/>
      <c r="E56" s="10" t="n"/>
      <c r="F56" s="13" t="n"/>
      <c r="G56" s="10" t="n"/>
      <c r="H56" s="10" t="n"/>
      <c r="I56" s="10" t="n"/>
      <c r="J56" s="10" t="n"/>
      <c r="K56" s="10">
        <f>IF(A56="","",TEXT(A56,"yyyy-mm"))</f>
        <v/>
      </c>
      <c r="L56" s="10">
        <f>IF(A56="","",WEEKNUM(A56))</f>
        <v/>
      </c>
      <c r="M56" s="10">
        <f>IF(A56="","",IF(COUNTIFS(A:A,A56,B:B,B56,F:F,F56)&gt;1,"⚠ Possible Duplicate",""))</f>
        <v/>
      </c>
      <c r="N56" s="10" t="n"/>
    </row>
    <row r="57">
      <c r="A57" s="10" t="n"/>
      <c r="B57" s="10" t="n"/>
      <c r="C57" s="10" t="n"/>
      <c r="D57" s="10" t="n"/>
      <c r="E57" s="10" t="n"/>
      <c r="F57" s="13" t="n"/>
      <c r="G57" s="10" t="n"/>
      <c r="H57" s="10" t="n"/>
      <c r="I57" s="10" t="n"/>
      <c r="J57" s="10" t="n"/>
      <c r="K57" s="10">
        <f>IF(A57="","",TEXT(A57,"yyyy-mm"))</f>
        <v/>
      </c>
      <c r="L57" s="10">
        <f>IF(A57="","",WEEKNUM(A57))</f>
        <v/>
      </c>
      <c r="M57" s="10">
        <f>IF(A57="","",IF(COUNTIFS(A:A,A57,B:B,B57,F:F,F57)&gt;1,"⚠ Possible Duplicate",""))</f>
        <v/>
      </c>
      <c r="N57" s="10" t="n"/>
    </row>
    <row r="58">
      <c r="A58" s="10" t="n"/>
      <c r="B58" s="10" t="n"/>
      <c r="C58" s="10" t="n"/>
      <c r="D58" s="10" t="n"/>
      <c r="E58" s="10" t="n"/>
      <c r="F58" s="13" t="n"/>
      <c r="G58" s="10" t="n"/>
      <c r="H58" s="10" t="n"/>
      <c r="I58" s="10" t="n"/>
      <c r="J58" s="10" t="n"/>
      <c r="K58" s="10">
        <f>IF(A58="","",TEXT(A58,"yyyy-mm"))</f>
        <v/>
      </c>
      <c r="L58" s="10">
        <f>IF(A58="","",WEEKNUM(A58))</f>
        <v/>
      </c>
      <c r="M58" s="10">
        <f>IF(A58="","",IF(COUNTIFS(A:A,A58,B:B,B58,F:F,F58)&gt;1,"⚠ Possible Duplicate",""))</f>
        <v/>
      </c>
      <c r="N58" s="10" t="n"/>
    </row>
    <row r="59">
      <c r="A59" s="10" t="n"/>
      <c r="B59" s="10" t="n"/>
      <c r="C59" s="10" t="n"/>
      <c r="D59" s="10" t="n"/>
      <c r="E59" s="10" t="n"/>
      <c r="F59" s="13" t="n"/>
      <c r="G59" s="10" t="n"/>
      <c r="H59" s="10" t="n"/>
      <c r="I59" s="10" t="n"/>
      <c r="J59" s="10" t="n"/>
      <c r="K59" s="10">
        <f>IF(A59="","",TEXT(A59,"yyyy-mm"))</f>
        <v/>
      </c>
      <c r="L59" s="10">
        <f>IF(A59="","",WEEKNUM(A59))</f>
        <v/>
      </c>
      <c r="M59" s="10">
        <f>IF(A59="","",IF(COUNTIFS(A:A,A59,B:B,B59,F:F,F59)&gt;1,"⚠ Possible Duplicate",""))</f>
        <v/>
      </c>
      <c r="N59" s="10" t="n"/>
    </row>
    <row r="60">
      <c r="A60" s="10" t="n"/>
      <c r="B60" s="10" t="n"/>
      <c r="C60" s="10" t="n"/>
      <c r="D60" s="10" t="n"/>
      <c r="E60" s="10" t="n"/>
      <c r="F60" s="13" t="n"/>
      <c r="G60" s="10" t="n"/>
      <c r="H60" s="10" t="n"/>
      <c r="I60" s="10" t="n"/>
      <c r="J60" s="10" t="n"/>
      <c r="K60" s="10">
        <f>IF(A60="","",TEXT(A60,"yyyy-mm"))</f>
        <v/>
      </c>
      <c r="L60" s="10">
        <f>IF(A60="","",WEEKNUM(A60))</f>
        <v/>
      </c>
      <c r="M60" s="10">
        <f>IF(A60="","",IF(COUNTIFS(A:A,A60,B:B,B60,F:F,F60)&gt;1,"⚠ Possible Duplicate",""))</f>
        <v/>
      </c>
      <c r="N60" s="10" t="n"/>
    </row>
    <row r="61">
      <c r="A61" s="10" t="n"/>
      <c r="B61" s="10" t="n"/>
      <c r="C61" s="10" t="n"/>
      <c r="D61" s="10" t="n"/>
      <c r="E61" s="10" t="n"/>
      <c r="F61" s="13" t="n"/>
      <c r="G61" s="10" t="n"/>
      <c r="H61" s="10" t="n"/>
      <c r="I61" s="10" t="n"/>
      <c r="J61" s="10" t="n"/>
      <c r="K61" s="10">
        <f>IF(A61="","",TEXT(A61,"yyyy-mm"))</f>
        <v/>
      </c>
      <c r="L61" s="10">
        <f>IF(A61="","",WEEKNUM(A61))</f>
        <v/>
      </c>
      <c r="M61" s="10">
        <f>IF(A61="","",IF(COUNTIFS(A:A,A61,B:B,B61,F:F,F61)&gt;1,"⚠ Possible Duplicate",""))</f>
        <v/>
      </c>
      <c r="N61" s="10" t="n"/>
    </row>
    <row r="62">
      <c r="A62" s="10" t="n"/>
      <c r="B62" s="10" t="n"/>
      <c r="C62" s="10" t="n"/>
      <c r="D62" s="10" t="n"/>
      <c r="E62" s="10" t="n"/>
      <c r="F62" s="13" t="n"/>
      <c r="G62" s="10" t="n"/>
      <c r="H62" s="10" t="n"/>
      <c r="I62" s="10" t="n"/>
      <c r="J62" s="10" t="n"/>
      <c r="K62" s="10">
        <f>IF(A62="","",TEXT(A62,"yyyy-mm"))</f>
        <v/>
      </c>
      <c r="L62" s="10">
        <f>IF(A62="","",WEEKNUM(A62))</f>
        <v/>
      </c>
      <c r="M62" s="10">
        <f>IF(A62="","",IF(COUNTIFS(A:A,A62,B:B,B62,F:F,F62)&gt;1,"⚠ Possible Duplicate",""))</f>
        <v/>
      </c>
      <c r="N62" s="10" t="n"/>
    </row>
    <row r="63">
      <c r="A63" s="10" t="n"/>
      <c r="B63" s="10" t="n"/>
      <c r="C63" s="10" t="n"/>
      <c r="D63" s="10" t="n"/>
      <c r="E63" s="10" t="n"/>
      <c r="F63" s="13" t="n"/>
      <c r="G63" s="10" t="n"/>
      <c r="H63" s="10" t="n"/>
      <c r="I63" s="10" t="n"/>
      <c r="J63" s="10" t="n"/>
      <c r="K63" s="10">
        <f>IF(A63="","",TEXT(A63,"yyyy-mm"))</f>
        <v/>
      </c>
      <c r="L63" s="10">
        <f>IF(A63="","",WEEKNUM(A63))</f>
        <v/>
      </c>
      <c r="M63" s="10">
        <f>IF(A63="","",IF(COUNTIFS(A:A,A63,B:B,B63,F:F,F63)&gt;1,"⚠ Possible Duplicate",""))</f>
        <v/>
      </c>
      <c r="N63" s="10" t="n"/>
    </row>
    <row r="64">
      <c r="A64" s="10" t="n"/>
      <c r="B64" s="10" t="n"/>
      <c r="C64" s="10" t="n"/>
      <c r="D64" s="10" t="n"/>
      <c r="E64" s="10" t="n"/>
      <c r="F64" s="13" t="n"/>
      <c r="G64" s="10" t="n"/>
      <c r="H64" s="10" t="n"/>
      <c r="I64" s="10" t="n"/>
      <c r="J64" s="10" t="n"/>
      <c r="K64" s="10">
        <f>IF(A64="","",TEXT(A64,"yyyy-mm"))</f>
        <v/>
      </c>
      <c r="L64" s="10">
        <f>IF(A64="","",WEEKNUM(A64))</f>
        <v/>
      </c>
      <c r="M64" s="10">
        <f>IF(A64="","",IF(COUNTIFS(A:A,A64,B:B,B64,F:F,F64)&gt;1,"⚠ Possible Duplicate",""))</f>
        <v/>
      </c>
      <c r="N64" s="10" t="n"/>
    </row>
    <row r="65">
      <c r="A65" s="10" t="n"/>
      <c r="B65" s="10" t="n"/>
      <c r="C65" s="10" t="n"/>
      <c r="D65" s="10" t="n"/>
      <c r="E65" s="10" t="n"/>
      <c r="F65" s="13" t="n"/>
      <c r="G65" s="10" t="n"/>
      <c r="H65" s="10" t="n"/>
      <c r="I65" s="10" t="n"/>
      <c r="J65" s="10" t="n"/>
      <c r="K65" s="10">
        <f>IF(A65="","",TEXT(A65,"yyyy-mm"))</f>
        <v/>
      </c>
      <c r="L65" s="10">
        <f>IF(A65="","",WEEKNUM(A65))</f>
        <v/>
      </c>
      <c r="M65" s="10">
        <f>IF(A65="","",IF(COUNTIFS(A:A,A65,B:B,B65,F:F,F65)&gt;1,"⚠ Possible Duplicate",""))</f>
        <v/>
      </c>
      <c r="N65" s="10" t="n"/>
    </row>
    <row r="66">
      <c r="A66" s="10" t="n"/>
      <c r="B66" s="10" t="n"/>
      <c r="C66" s="10" t="n"/>
      <c r="D66" s="10" t="n"/>
      <c r="E66" s="10" t="n"/>
      <c r="F66" s="13" t="n"/>
      <c r="G66" s="10" t="n"/>
      <c r="H66" s="10" t="n"/>
      <c r="I66" s="10" t="n"/>
      <c r="J66" s="10" t="n"/>
      <c r="K66" s="10">
        <f>IF(A66="","",TEXT(A66,"yyyy-mm"))</f>
        <v/>
      </c>
      <c r="L66" s="10">
        <f>IF(A66="","",WEEKNUM(A66))</f>
        <v/>
      </c>
      <c r="M66" s="10">
        <f>IF(A66="","",IF(COUNTIFS(A:A,A66,B:B,B66,F:F,F66)&gt;1,"⚠ Possible Duplicate",""))</f>
        <v/>
      </c>
      <c r="N66" s="10" t="n"/>
    </row>
    <row r="67">
      <c r="A67" s="10" t="n"/>
      <c r="B67" s="10" t="n"/>
      <c r="C67" s="10" t="n"/>
      <c r="D67" s="10" t="n"/>
      <c r="E67" s="10" t="n"/>
      <c r="F67" s="13" t="n"/>
      <c r="G67" s="10" t="n"/>
      <c r="H67" s="10" t="n"/>
      <c r="I67" s="10" t="n"/>
      <c r="J67" s="10" t="n"/>
      <c r="K67" s="10">
        <f>IF(A67="","",TEXT(A67,"yyyy-mm"))</f>
        <v/>
      </c>
      <c r="L67" s="10">
        <f>IF(A67="","",WEEKNUM(A67))</f>
        <v/>
      </c>
      <c r="M67" s="10">
        <f>IF(A67="","",IF(COUNTIFS(A:A,A67,B:B,B67,F:F,F67)&gt;1,"⚠ Possible Duplicate",""))</f>
        <v/>
      </c>
      <c r="N67" s="10" t="n"/>
    </row>
    <row r="68">
      <c r="A68" s="10" t="n"/>
      <c r="B68" s="10" t="n"/>
      <c r="C68" s="10" t="n"/>
      <c r="D68" s="10" t="n"/>
      <c r="E68" s="10" t="n"/>
      <c r="F68" s="13" t="n"/>
      <c r="G68" s="10" t="n"/>
      <c r="H68" s="10" t="n"/>
      <c r="I68" s="10" t="n"/>
      <c r="J68" s="10" t="n"/>
      <c r="K68" s="10">
        <f>IF(A68="","",TEXT(A68,"yyyy-mm"))</f>
        <v/>
      </c>
      <c r="L68" s="10">
        <f>IF(A68="","",WEEKNUM(A68))</f>
        <v/>
      </c>
      <c r="M68" s="10">
        <f>IF(A68="","",IF(COUNTIFS(A:A,A68,B:B,B68,F:F,F68)&gt;1,"⚠ Possible Duplicate",""))</f>
        <v/>
      </c>
      <c r="N68" s="10" t="n"/>
    </row>
    <row r="69">
      <c r="A69" s="10" t="n"/>
      <c r="B69" s="10" t="n"/>
      <c r="C69" s="10" t="n"/>
      <c r="D69" s="10" t="n"/>
      <c r="E69" s="10" t="n"/>
      <c r="F69" s="13" t="n"/>
      <c r="G69" s="10" t="n"/>
      <c r="H69" s="10" t="n"/>
      <c r="I69" s="10" t="n"/>
      <c r="J69" s="10" t="n"/>
      <c r="K69" s="10">
        <f>IF(A69="","",TEXT(A69,"yyyy-mm"))</f>
        <v/>
      </c>
      <c r="L69" s="10">
        <f>IF(A69="","",WEEKNUM(A69))</f>
        <v/>
      </c>
      <c r="M69" s="10">
        <f>IF(A69="","",IF(COUNTIFS(A:A,A69,B:B,B69,F:F,F69)&gt;1,"⚠ Possible Duplicate",""))</f>
        <v/>
      </c>
      <c r="N69" s="10" t="n"/>
    </row>
    <row r="70">
      <c r="A70" s="10" t="n"/>
      <c r="B70" s="10" t="n"/>
      <c r="C70" s="10" t="n"/>
      <c r="D70" s="10" t="n"/>
      <c r="E70" s="10" t="n"/>
      <c r="F70" s="13" t="n"/>
      <c r="G70" s="10" t="n"/>
      <c r="H70" s="10" t="n"/>
      <c r="I70" s="10" t="n"/>
      <c r="J70" s="10" t="n"/>
      <c r="K70" s="10">
        <f>IF(A70="","",TEXT(A70,"yyyy-mm"))</f>
        <v/>
      </c>
      <c r="L70" s="10">
        <f>IF(A70="","",WEEKNUM(A70))</f>
        <v/>
      </c>
      <c r="M70" s="10">
        <f>IF(A70="","",IF(COUNTIFS(A:A,A70,B:B,B70,F:F,F70)&gt;1,"⚠ Possible Duplicate",""))</f>
        <v/>
      </c>
      <c r="N70" s="10" t="n"/>
    </row>
    <row r="71">
      <c r="A71" s="10" t="n"/>
      <c r="B71" s="10" t="n"/>
      <c r="C71" s="10" t="n"/>
      <c r="D71" s="10" t="n"/>
      <c r="E71" s="10" t="n"/>
      <c r="F71" s="13" t="n"/>
      <c r="G71" s="10" t="n"/>
      <c r="H71" s="10" t="n"/>
      <c r="I71" s="10" t="n"/>
      <c r="J71" s="10" t="n"/>
      <c r="K71" s="10">
        <f>IF(A71="","",TEXT(A71,"yyyy-mm"))</f>
        <v/>
      </c>
      <c r="L71" s="10">
        <f>IF(A71="","",WEEKNUM(A71))</f>
        <v/>
      </c>
      <c r="M71" s="10">
        <f>IF(A71="","",IF(COUNTIFS(A:A,A71,B:B,B71,F:F,F71)&gt;1,"⚠ Possible Duplicate",""))</f>
        <v/>
      </c>
      <c r="N71" s="10" t="n"/>
    </row>
    <row r="72">
      <c r="A72" s="10" t="n"/>
      <c r="B72" s="10" t="n"/>
      <c r="C72" s="10" t="n"/>
      <c r="D72" s="10" t="n"/>
      <c r="E72" s="10" t="n"/>
      <c r="F72" s="13" t="n"/>
      <c r="G72" s="10" t="n"/>
      <c r="H72" s="10" t="n"/>
      <c r="I72" s="10" t="n"/>
      <c r="J72" s="10" t="n"/>
      <c r="K72" s="10">
        <f>IF(A72="","",TEXT(A72,"yyyy-mm"))</f>
        <v/>
      </c>
      <c r="L72" s="10">
        <f>IF(A72="","",WEEKNUM(A72))</f>
        <v/>
      </c>
      <c r="M72" s="10">
        <f>IF(A72="","",IF(COUNTIFS(A:A,A72,B:B,B72,F:F,F72)&gt;1,"⚠ Possible Duplicate",""))</f>
        <v/>
      </c>
      <c r="N72" s="10" t="n"/>
    </row>
    <row r="73">
      <c r="A73" s="10" t="n"/>
      <c r="B73" s="10" t="n"/>
      <c r="C73" s="10" t="n"/>
      <c r="D73" s="10" t="n"/>
      <c r="E73" s="10" t="n"/>
      <c r="F73" s="13" t="n"/>
      <c r="G73" s="10" t="n"/>
      <c r="H73" s="10" t="n"/>
      <c r="I73" s="10" t="n"/>
      <c r="J73" s="10" t="n"/>
      <c r="K73" s="10">
        <f>IF(A73="","",TEXT(A73,"yyyy-mm"))</f>
        <v/>
      </c>
      <c r="L73" s="10">
        <f>IF(A73="","",WEEKNUM(A73))</f>
        <v/>
      </c>
      <c r="M73" s="10">
        <f>IF(A73="","",IF(COUNTIFS(A:A,A73,B:B,B73,F:F,F73)&gt;1,"⚠ Possible Duplicate",""))</f>
        <v/>
      </c>
      <c r="N73" s="10" t="n"/>
    </row>
    <row r="74">
      <c r="A74" s="10" t="n"/>
      <c r="B74" s="10" t="n"/>
      <c r="C74" s="10" t="n"/>
      <c r="D74" s="10" t="n"/>
      <c r="E74" s="10" t="n"/>
      <c r="F74" s="13" t="n"/>
      <c r="G74" s="10" t="n"/>
      <c r="H74" s="10" t="n"/>
      <c r="I74" s="10" t="n"/>
      <c r="J74" s="10" t="n"/>
      <c r="K74" s="10">
        <f>IF(A74="","",TEXT(A74,"yyyy-mm"))</f>
        <v/>
      </c>
      <c r="L74" s="10">
        <f>IF(A74="","",WEEKNUM(A74))</f>
        <v/>
      </c>
      <c r="M74" s="10">
        <f>IF(A74="","",IF(COUNTIFS(A:A,A74,B:B,B74,F:F,F74)&gt;1,"⚠ Possible Duplicate",""))</f>
        <v/>
      </c>
      <c r="N74" s="10" t="n"/>
    </row>
    <row r="75">
      <c r="A75" s="10" t="n"/>
      <c r="B75" s="10" t="n"/>
      <c r="C75" s="10" t="n"/>
      <c r="D75" s="10" t="n"/>
      <c r="E75" s="10" t="n"/>
      <c r="F75" s="13" t="n"/>
      <c r="G75" s="10" t="n"/>
      <c r="H75" s="10" t="n"/>
      <c r="I75" s="10" t="n"/>
      <c r="J75" s="10" t="n"/>
      <c r="K75" s="10">
        <f>IF(A75="","",TEXT(A75,"yyyy-mm"))</f>
        <v/>
      </c>
      <c r="L75" s="10">
        <f>IF(A75="","",WEEKNUM(A75))</f>
        <v/>
      </c>
      <c r="M75" s="10">
        <f>IF(A75="","",IF(COUNTIFS(A:A,A75,B:B,B75,F:F,F75)&gt;1,"⚠ Possible Duplicate",""))</f>
        <v/>
      </c>
      <c r="N75" s="10" t="n"/>
    </row>
    <row r="76">
      <c r="A76" s="10" t="n"/>
      <c r="B76" s="10" t="n"/>
      <c r="C76" s="10" t="n"/>
      <c r="D76" s="10" t="n"/>
      <c r="E76" s="10" t="n"/>
      <c r="F76" s="13" t="n"/>
      <c r="G76" s="10" t="n"/>
      <c r="H76" s="10" t="n"/>
      <c r="I76" s="10" t="n"/>
      <c r="J76" s="10" t="n"/>
      <c r="K76" s="10">
        <f>IF(A76="","",TEXT(A76,"yyyy-mm"))</f>
        <v/>
      </c>
      <c r="L76" s="10">
        <f>IF(A76="","",WEEKNUM(A76))</f>
        <v/>
      </c>
      <c r="M76" s="10">
        <f>IF(A76="","",IF(COUNTIFS(A:A,A76,B:B,B76,F:F,F76)&gt;1,"⚠ Possible Duplicate",""))</f>
        <v/>
      </c>
      <c r="N76" s="10" t="n"/>
    </row>
    <row r="77">
      <c r="A77" s="10" t="n"/>
      <c r="B77" s="10" t="n"/>
      <c r="C77" s="10" t="n"/>
      <c r="D77" s="10" t="n"/>
      <c r="E77" s="10" t="n"/>
      <c r="F77" s="13" t="n"/>
      <c r="G77" s="10" t="n"/>
      <c r="H77" s="10" t="n"/>
      <c r="I77" s="10" t="n"/>
      <c r="J77" s="10" t="n"/>
      <c r="K77" s="10">
        <f>IF(A77="","",TEXT(A77,"yyyy-mm"))</f>
        <v/>
      </c>
      <c r="L77" s="10">
        <f>IF(A77="","",WEEKNUM(A77))</f>
        <v/>
      </c>
      <c r="M77" s="10">
        <f>IF(A77="","",IF(COUNTIFS(A:A,A77,B:B,B77,F:F,F77)&gt;1,"⚠ Possible Duplicate",""))</f>
        <v/>
      </c>
      <c r="N77" s="10" t="n"/>
    </row>
    <row r="78">
      <c r="A78" s="10" t="n"/>
      <c r="B78" s="10" t="n"/>
      <c r="C78" s="10" t="n"/>
      <c r="D78" s="10" t="n"/>
      <c r="E78" s="10" t="n"/>
      <c r="F78" s="13" t="n"/>
      <c r="G78" s="10" t="n"/>
      <c r="H78" s="10" t="n"/>
      <c r="I78" s="10" t="n"/>
      <c r="J78" s="10" t="n"/>
      <c r="K78" s="10">
        <f>IF(A78="","",TEXT(A78,"yyyy-mm"))</f>
        <v/>
      </c>
      <c r="L78" s="10">
        <f>IF(A78="","",WEEKNUM(A78))</f>
        <v/>
      </c>
      <c r="M78" s="10">
        <f>IF(A78="","",IF(COUNTIFS(A:A,A78,B:B,B78,F:F,F78)&gt;1,"⚠ Possible Duplicate",""))</f>
        <v/>
      </c>
      <c r="N78" s="10" t="n"/>
    </row>
    <row r="79">
      <c r="A79" s="10" t="n"/>
      <c r="B79" s="10" t="n"/>
      <c r="C79" s="10" t="n"/>
      <c r="D79" s="10" t="n"/>
      <c r="E79" s="10" t="n"/>
      <c r="F79" s="13" t="n"/>
      <c r="G79" s="10" t="n"/>
      <c r="H79" s="10" t="n"/>
      <c r="I79" s="10" t="n"/>
      <c r="J79" s="10" t="n"/>
      <c r="K79" s="10">
        <f>IF(A79="","",TEXT(A79,"yyyy-mm"))</f>
        <v/>
      </c>
      <c r="L79" s="10">
        <f>IF(A79="","",WEEKNUM(A79))</f>
        <v/>
      </c>
      <c r="M79" s="10">
        <f>IF(A79="","",IF(COUNTIFS(A:A,A79,B:B,B79,F:F,F79)&gt;1,"⚠ Possible Duplicate",""))</f>
        <v/>
      </c>
      <c r="N79" s="10" t="n"/>
    </row>
    <row r="80">
      <c r="A80" s="10" t="n"/>
      <c r="B80" s="10" t="n"/>
      <c r="C80" s="10" t="n"/>
      <c r="D80" s="10" t="n"/>
      <c r="E80" s="10" t="n"/>
      <c r="F80" s="13" t="n"/>
      <c r="G80" s="10" t="n"/>
      <c r="H80" s="10" t="n"/>
      <c r="I80" s="10" t="n"/>
      <c r="J80" s="10" t="n"/>
      <c r="K80" s="10">
        <f>IF(A80="","",TEXT(A80,"yyyy-mm"))</f>
        <v/>
      </c>
      <c r="L80" s="10">
        <f>IF(A80="","",WEEKNUM(A80))</f>
        <v/>
      </c>
      <c r="M80" s="10">
        <f>IF(A80="","",IF(COUNTIFS(A:A,A80,B:B,B80,F:F,F80)&gt;1,"⚠ Possible Duplicate",""))</f>
        <v/>
      </c>
      <c r="N80" s="10" t="n"/>
    </row>
    <row r="81">
      <c r="A81" s="10" t="n"/>
      <c r="B81" s="10" t="n"/>
      <c r="C81" s="10" t="n"/>
      <c r="D81" s="10" t="n"/>
      <c r="E81" s="10" t="n"/>
      <c r="F81" s="13" t="n"/>
      <c r="G81" s="10" t="n"/>
      <c r="H81" s="10" t="n"/>
      <c r="I81" s="10" t="n"/>
      <c r="J81" s="10" t="n"/>
      <c r="K81" s="10">
        <f>IF(A81="","",TEXT(A81,"yyyy-mm"))</f>
        <v/>
      </c>
      <c r="L81" s="10">
        <f>IF(A81="","",WEEKNUM(A81))</f>
        <v/>
      </c>
      <c r="M81" s="10">
        <f>IF(A81="","",IF(COUNTIFS(A:A,A81,B:B,B81,F:F,F81)&gt;1,"⚠ Possible Duplicate",""))</f>
        <v/>
      </c>
      <c r="N81" s="10" t="n"/>
    </row>
    <row r="82">
      <c r="A82" s="10" t="n"/>
      <c r="B82" s="10" t="n"/>
      <c r="C82" s="10" t="n"/>
      <c r="D82" s="10" t="n"/>
      <c r="E82" s="10" t="n"/>
      <c r="F82" s="13" t="n"/>
      <c r="G82" s="10" t="n"/>
      <c r="H82" s="10" t="n"/>
      <c r="I82" s="10" t="n"/>
      <c r="J82" s="10" t="n"/>
      <c r="K82" s="10">
        <f>IF(A82="","",TEXT(A82,"yyyy-mm"))</f>
        <v/>
      </c>
      <c r="L82" s="10">
        <f>IF(A82="","",WEEKNUM(A82))</f>
        <v/>
      </c>
      <c r="M82" s="10">
        <f>IF(A82="","",IF(COUNTIFS(A:A,A82,B:B,B82,F:F,F82)&gt;1,"⚠ Possible Duplicate",""))</f>
        <v/>
      </c>
      <c r="N82" s="10" t="n"/>
    </row>
    <row r="83">
      <c r="A83" s="10" t="n"/>
      <c r="B83" s="10" t="n"/>
      <c r="C83" s="10" t="n"/>
      <c r="D83" s="10" t="n"/>
      <c r="E83" s="10" t="n"/>
      <c r="F83" s="13" t="n"/>
      <c r="G83" s="10" t="n"/>
      <c r="H83" s="10" t="n"/>
      <c r="I83" s="10" t="n"/>
      <c r="J83" s="10" t="n"/>
      <c r="K83" s="10">
        <f>IF(A83="","",TEXT(A83,"yyyy-mm"))</f>
        <v/>
      </c>
      <c r="L83" s="10">
        <f>IF(A83="","",WEEKNUM(A83))</f>
        <v/>
      </c>
      <c r="M83" s="10">
        <f>IF(A83="","",IF(COUNTIFS(A:A,A83,B:B,B83,F:F,F83)&gt;1,"⚠ Possible Duplicate",""))</f>
        <v/>
      </c>
      <c r="N83" s="10" t="n"/>
    </row>
    <row r="84">
      <c r="A84" s="10" t="n"/>
      <c r="B84" s="10" t="n"/>
      <c r="C84" s="10" t="n"/>
      <c r="D84" s="10" t="n"/>
      <c r="E84" s="10" t="n"/>
      <c r="F84" s="13" t="n"/>
      <c r="G84" s="10" t="n"/>
      <c r="H84" s="10" t="n"/>
      <c r="I84" s="10" t="n"/>
      <c r="J84" s="10" t="n"/>
      <c r="K84" s="10">
        <f>IF(A84="","",TEXT(A84,"yyyy-mm"))</f>
        <v/>
      </c>
      <c r="L84" s="10">
        <f>IF(A84="","",WEEKNUM(A84))</f>
        <v/>
      </c>
      <c r="M84" s="10">
        <f>IF(A84="","",IF(COUNTIFS(A:A,A84,B:B,B84,F:F,F84)&gt;1,"⚠ Possible Duplicate",""))</f>
        <v/>
      </c>
      <c r="N84" s="10" t="n"/>
    </row>
    <row r="85">
      <c r="A85" s="10" t="n"/>
      <c r="B85" s="10" t="n"/>
      <c r="C85" s="10" t="n"/>
      <c r="D85" s="10" t="n"/>
      <c r="E85" s="10" t="n"/>
      <c r="F85" s="13" t="n"/>
      <c r="G85" s="10" t="n"/>
      <c r="H85" s="10" t="n"/>
      <c r="I85" s="10" t="n"/>
      <c r="J85" s="10" t="n"/>
      <c r="K85" s="10">
        <f>IF(A85="","",TEXT(A85,"yyyy-mm"))</f>
        <v/>
      </c>
      <c r="L85" s="10">
        <f>IF(A85="","",WEEKNUM(A85))</f>
        <v/>
      </c>
      <c r="M85" s="10">
        <f>IF(A85="","",IF(COUNTIFS(A:A,A85,B:B,B85,F:F,F85)&gt;1,"⚠ Possible Duplicate",""))</f>
        <v/>
      </c>
      <c r="N85" s="10" t="n"/>
    </row>
    <row r="86">
      <c r="A86" s="10" t="n"/>
      <c r="B86" s="10" t="n"/>
      <c r="C86" s="10" t="n"/>
      <c r="D86" s="10" t="n"/>
      <c r="E86" s="10" t="n"/>
      <c r="F86" s="13" t="n"/>
      <c r="G86" s="10" t="n"/>
      <c r="H86" s="10" t="n"/>
      <c r="I86" s="10" t="n"/>
      <c r="J86" s="10" t="n"/>
      <c r="K86" s="10">
        <f>IF(A86="","",TEXT(A86,"yyyy-mm"))</f>
        <v/>
      </c>
      <c r="L86" s="10">
        <f>IF(A86="","",WEEKNUM(A86))</f>
        <v/>
      </c>
      <c r="M86" s="10">
        <f>IF(A86="","",IF(COUNTIFS(A:A,A86,B:B,B86,F:F,F86)&gt;1,"⚠ Possible Duplicate",""))</f>
        <v/>
      </c>
      <c r="N86" s="10" t="n"/>
    </row>
    <row r="87">
      <c r="A87" s="10" t="n"/>
      <c r="B87" s="10" t="n"/>
      <c r="C87" s="10" t="n"/>
      <c r="D87" s="10" t="n"/>
      <c r="E87" s="10" t="n"/>
      <c r="F87" s="13" t="n"/>
      <c r="G87" s="10" t="n"/>
      <c r="H87" s="10" t="n"/>
      <c r="I87" s="10" t="n"/>
      <c r="J87" s="10" t="n"/>
      <c r="K87" s="10">
        <f>IF(A87="","",TEXT(A87,"yyyy-mm"))</f>
        <v/>
      </c>
      <c r="L87" s="10">
        <f>IF(A87="","",WEEKNUM(A87))</f>
        <v/>
      </c>
      <c r="M87" s="10">
        <f>IF(A87="","",IF(COUNTIFS(A:A,A87,B:B,B87,F:F,F87)&gt;1,"⚠ Possible Duplicate",""))</f>
        <v/>
      </c>
      <c r="N87" s="10" t="n"/>
    </row>
    <row r="88">
      <c r="A88" s="10" t="n"/>
      <c r="B88" s="10" t="n"/>
      <c r="C88" s="10" t="n"/>
      <c r="D88" s="10" t="n"/>
      <c r="E88" s="10" t="n"/>
      <c r="F88" s="13" t="n"/>
      <c r="G88" s="10" t="n"/>
      <c r="H88" s="10" t="n"/>
      <c r="I88" s="10" t="n"/>
      <c r="J88" s="10" t="n"/>
      <c r="K88" s="10">
        <f>IF(A88="","",TEXT(A88,"yyyy-mm"))</f>
        <v/>
      </c>
      <c r="L88" s="10">
        <f>IF(A88="","",WEEKNUM(A88))</f>
        <v/>
      </c>
      <c r="M88" s="10">
        <f>IF(A88="","",IF(COUNTIFS(A:A,A88,B:B,B88,F:F,F88)&gt;1,"⚠ Possible Duplicate",""))</f>
        <v/>
      </c>
      <c r="N88" s="10" t="n"/>
    </row>
    <row r="89">
      <c r="A89" s="10" t="n"/>
      <c r="B89" s="10" t="n"/>
      <c r="C89" s="10" t="n"/>
      <c r="D89" s="10" t="n"/>
      <c r="E89" s="10" t="n"/>
      <c r="F89" s="13" t="n"/>
      <c r="G89" s="10" t="n"/>
      <c r="H89" s="10" t="n"/>
      <c r="I89" s="10" t="n"/>
      <c r="J89" s="10" t="n"/>
      <c r="K89" s="10">
        <f>IF(A89="","",TEXT(A89,"yyyy-mm"))</f>
        <v/>
      </c>
      <c r="L89" s="10">
        <f>IF(A89="","",WEEKNUM(A89))</f>
        <v/>
      </c>
      <c r="M89" s="10">
        <f>IF(A89="","",IF(COUNTIFS(A:A,A89,B:B,B89,F:F,F89)&gt;1,"⚠ Possible Duplicate",""))</f>
        <v/>
      </c>
      <c r="N89" s="10" t="n"/>
    </row>
    <row r="90">
      <c r="A90" s="10" t="n"/>
      <c r="B90" s="10" t="n"/>
      <c r="C90" s="10" t="n"/>
      <c r="D90" s="10" t="n"/>
      <c r="E90" s="10" t="n"/>
      <c r="F90" s="13" t="n"/>
      <c r="G90" s="10" t="n"/>
      <c r="H90" s="10" t="n"/>
      <c r="I90" s="10" t="n"/>
      <c r="J90" s="10" t="n"/>
      <c r="K90" s="10">
        <f>IF(A90="","",TEXT(A90,"yyyy-mm"))</f>
        <v/>
      </c>
      <c r="L90" s="10">
        <f>IF(A90="","",WEEKNUM(A90))</f>
        <v/>
      </c>
      <c r="M90" s="10">
        <f>IF(A90="","",IF(COUNTIFS(A:A,A90,B:B,B90,F:F,F90)&gt;1,"⚠ Possible Duplicate",""))</f>
        <v/>
      </c>
      <c r="N90" s="10" t="n"/>
    </row>
    <row r="91">
      <c r="A91" s="10" t="n"/>
      <c r="B91" s="10" t="n"/>
      <c r="C91" s="10" t="n"/>
      <c r="D91" s="10" t="n"/>
      <c r="E91" s="10" t="n"/>
      <c r="F91" s="13" t="n"/>
      <c r="G91" s="10" t="n"/>
      <c r="H91" s="10" t="n"/>
      <c r="I91" s="10" t="n"/>
      <c r="J91" s="10" t="n"/>
      <c r="K91" s="10">
        <f>IF(A91="","",TEXT(A91,"yyyy-mm"))</f>
        <v/>
      </c>
      <c r="L91" s="10">
        <f>IF(A91="","",WEEKNUM(A91))</f>
        <v/>
      </c>
      <c r="M91" s="10">
        <f>IF(A91="","",IF(COUNTIFS(A:A,A91,B:B,B91,F:F,F91)&gt;1,"⚠ Possible Duplicate",""))</f>
        <v/>
      </c>
      <c r="N91" s="10" t="n"/>
    </row>
    <row r="92">
      <c r="A92" s="10" t="n"/>
      <c r="B92" s="10" t="n"/>
      <c r="C92" s="10" t="n"/>
      <c r="D92" s="10" t="n"/>
      <c r="E92" s="10" t="n"/>
      <c r="F92" s="13" t="n"/>
      <c r="G92" s="10" t="n"/>
      <c r="H92" s="10" t="n"/>
      <c r="I92" s="10" t="n"/>
      <c r="J92" s="10" t="n"/>
      <c r="K92" s="10">
        <f>IF(A92="","",TEXT(A92,"yyyy-mm"))</f>
        <v/>
      </c>
      <c r="L92" s="10">
        <f>IF(A92="","",WEEKNUM(A92))</f>
        <v/>
      </c>
      <c r="M92" s="10">
        <f>IF(A92="","",IF(COUNTIFS(A:A,A92,B:B,B92,F:F,F92)&gt;1,"⚠ Possible Duplicate",""))</f>
        <v/>
      </c>
      <c r="N92" s="10" t="n"/>
    </row>
    <row r="93">
      <c r="A93" s="10" t="n"/>
      <c r="B93" s="10" t="n"/>
      <c r="C93" s="10" t="n"/>
      <c r="D93" s="10" t="n"/>
      <c r="E93" s="10" t="n"/>
      <c r="F93" s="13" t="n"/>
      <c r="G93" s="10" t="n"/>
      <c r="H93" s="10" t="n"/>
      <c r="I93" s="10" t="n"/>
      <c r="J93" s="10" t="n"/>
      <c r="K93" s="10">
        <f>IF(A93="","",TEXT(A93,"yyyy-mm"))</f>
        <v/>
      </c>
      <c r="L93" s="10">
        <f>IF(A93="","",WEEKNUM(A93))</f>
        <v/>
      </c>
      <c r="M93" s="10">
        <f>IF(A93="","",IF(COUNTIFS(A:A,A93,B:B,B93,F:F,F93)&gt;1,"⚠ Possible Duplicate",""))</f>
        <v/>
      </c>
      <c r="N93" s="10" t="n"/>
    </row>
    <row r="94">
      <c r="A94" s="10" t="n"/>
      <c r="B94" s="10" t="n"/>
      <c r="C94" s="10" t="n"/>
      <c r="D94" s="10" t="n"/>
      <c r="E94" s="10" t="n"/>
      <c r="F94" s="13" t="n"/>
      <c r="G94" s="10" t="n"/>
      <c r="H94" s="10" t="n"/>
      <c r="I94" s="10" t="n"/>
      <c r="J94" s="10" t="n"/>
      <c r="K94" s="10">
        <f>IF(A94="","",TEXT(A94,"yyyy-mm"))</f>
        <v/>
      </c>
      <c r="L94" s="10">
        <f>IF(A94="","",WEEKNUM(A94))</f>
        <v/>
      </c>
      <c r="M94" s="10">
        <f>IF(A94="","",IF(COUNTIFS(A:A,A94,B:B,B94,F:F,F94)&gt;1,"⚠ Possible Duplicate",""))</f>
        <v/>
      </c>
      <c r="N94" s="10" t="n"/>
    </row>
    <row r="95">
      <c r="A95" s="10" t="n"/>
      <c r="B95" s="10" t="n"/>
      <c r="C95" s="10" t="n"/>
      <c r="D95" s="10" t="n"/>
      <c r="E95" s="10" t="n"/>
      <c r="F95" s="13" t="n"/>
      <c r="G95" s="10" t="n"/>
      <c r="H95" s="10" t="n"/>
      <c r="I95" s="10" t="n"/>
      <c r="J95" s="10" t="n"/>
      <c r="K95" s="10">
        <f>IF(A95="","",TEXT(A95,"yyyy-mm"))</f>
        <v/>
      </c>
      <c r="L95" s="10">
        <f>IF(A95="","",WEEKNUM(A95))</f>
        <v/>
      </c>
      <c r="M95" s="10">
        <f>IF(A95="","",IF(COUNTIFS(A:A,A95,B:B,B95,F:F,F95)&gt;1,"⚠ Possible Duplicate",""))</f>
        <v/>
      </c>
      <c r="N95" s="10" t="n"/>
    </row>
    <row r="96">
      <c r="A96" s="10" t="n"/>
      <c r="B96" s="10" t="n"/>
      <c r="C96" s="10" t="n"/>
      <c r="D96" s="10" t="n"/>
      <c r="E96" s="10" t="n"/>
      <c r="F96" s="13" t="n"/>
      <c r="G96" s="10" t="n"/>
      <c r="H96" s="10" t="n"/>
      <c r="I96" s="10" t="n"/>
      <c r="J96" s="10" t="n"/>
      <c r="K96" s="10">
        <f>IF(A96="","",TEXT(A96,"yyyy-mm"))</f>
        <v/>
      </c>
      <c r="L96" s="10">
        <f>IF(A96="","",WEEKNUM(A96))</f>
        <v/>
      </c>
      <c r="M96" s="10">
        <f>IF(A96="","",IF(COUNTIFS(A:A,A96,B:B,B96,F:F,F96)&gt;1,"⚠ Possible Duplicate",""))</f>
        <v/>
      </c>
      <c r="N96" s="10" t="n"/>
    </row>
    <row r="97">
      <c r="A97" s="10" t="n"/>
      <c r="B97" s="10" t="n"/>
      <c r="C97" s="10" t="n"/>
      <c r="D97" s="10" t="n"/>
      <c r="E97" s="10" t="n"/>
      <c r="F97" s="13" t="n"/>
      <c r="G97" s="10" t="n"/>
      <c r="H97" s="10" t="n"/>
      <c r="I97" s="10" t="n"/>
      <c r="J97" s="10" t="n"/>
      <c r="K97" s="10">
        <f>IF(A97="","",TEXT(A97,"yyyy-mm"))</f>
        <v/>
      </c>
      <c r="L97" s="10">
        <f>IF(A97="","",WEEKNUM(A97))</f>
        <v/>
      </c>
      <c r="M97" s="10">
        <f>IF(A97="","",IF(COUNTIFS(A:A,A97,B:B,B97,F:F,F97)&gt;1,"⚠ Possible Duplicate",""))</f>
        <v/>
      </c>
      <c r="N97" s="10" t="n"/>
    </row>
    <row r="98">
      <c r="A98" s="10" t="n"/>
      <c r="B98" s="10" t="n"/>
      <c r="C98" s="10" t="n"/>
      <c r="D98" s="10" t="n"/>
      <c r="E98" s="10" t="n"/>
      <c r="F98" s="13" t="n"/>
      <c r="G98" s="10" t="n"/>
      <c r="H98" s="10" t="n"/>
      <c r="I98" s="10" t="n"/>
      <c r="J98" s="10" t="n"/>
      <c r="K98" s="10">
        <f>IF(A98="","",TEXT(A98,"yyyy-mm"))</f>
        <v/>
      </c>
      <c r="L98" s="10">
        <f>IF(A98="","",WEEKNUM(A98))</f>
        <v/>
      </c>
      <c r="M98" s="10">
        <f>IF(A98="","",IF(COUNTIFS(A:A,A98,B:B,B98,F:F,F98)&gt;1,"⚠ Possible Duplicate",""))</f>
        <v/>
      </c>
      <c r="N98" s="10" t="n"/>
    </row>
    <row r="99">
      <c r="A99" s="10" t="n"/>
      <c r="B99" s="10" t="n"/>
      <c r="C99" s="10" t="n"/>
      <c r="D99" s="10" t="n"/>
      <c r="E99" s="10" t="n"/>
      <c r="F99" s="13" t="n"/>
      <c r="G99" s="10" t="n"/>
      <c r="H99" s="10" t="n"/>
      <c r="I99" s="10" t="n"/>
      <c r="J99" s="10" t="n"/>
      <c r="K99" s="10">
        <f>IF(A99="","",TEXT(A99,"yyyy-mm"))</f>
        <v/>
      </c>
      <c r="L99" s="10">
        <f>IF(A99="","",WEEKNUM(A99))</f>
        <v/>
      </c>
      <c r="M99" s="10">
        <f>IF(A99="","",IF(COUNTIFS(A:A,A99,B:B,B99,F:F,F99)&gt;1,"⚠ Possible Duplicate",""))</f>
        <v/>
      </c>
      <c r="N99" s="10" t="n"/>
    </row>
    <row r="100">
      <c r="A100" s="10" t="n"/>
      <c r="B100" s="10" t="n"/>
      <c r="C100" s="10" t="n"/>
      <c r="D100" s="10" t="n"/>
      <c r="E100" s="10" t="n"/>
      <c r="F100" s="13" t="n"/>
      <c r="G100" s="10" t="n"/>
      <c r="H100" s="10" t="n"/>
      <c r="I100" s="10" t="n"/>
      <c r="J100" s="10" t="n"/>
      <c r="K100" s="10">
        <f>IF(A100="","",TEXT(A100,"yyyy-mm"))</f>
        <v/>
      </c>
      <c r="L100" s="10">
        <f>IF(A100="","",WEEKNUM(A100))</f>
        <v/>
      </c>
      <c r="M100" s="10">
        <f>IF(A100="","",IF(COUNTIFS(A:A,A100,B:B,B100,F:F,F100)&gt;1,"⚠ Possible Duplicate",""))</f>
        <v/>
      </c>
      <c r="N100" s="10" t="n"/>
    </row>
    <row r="101">
      <c r="A101" s="10" t="n"/>
      <c r="B101" s="10" t="n"/>
      <c r="C101" s="10" t="n"/>
      <c r="D101" s="10" t="n"/>
      <c r="E101" s="10" t="n"/>
      <c r="F101" s="13" t="n"/>
      <c r="G101" s="10" t="n"/>
      <c r="H101" s="10" t="n"/>
      <c r="I101" s="10" t="n"/>
      <c r="J101" s="10" t="n"/>
      <c r="K101" s="10">
        <f>IF(A101="","",TEXT(A101,"yyyy-mm"))</f>
        <v/>
      </c>
      <c r="L101" s="10">
        <f>IF(A101="","",WEEKNUM(A101))</f>
        <v/>
      </c>
      <c r="M101" s="10">
        <f>IF(A101="","",IF(COUNTIFS(A:A,A101,B:B,B101,F:F,F101)&gt;1,"⚠ Possible Duplicate",""))</f>
        <v/>
      </c>
      <c r="N101" s="10" t="n"/>
    </row>
    <row r="102">
      <c r="A102" s="10" t="n"/>
      <c r="B102" s="10" t="n"/>
      <c r="C102" s="10" t="n"/>
      <c r="D102" s="10" t="n"/>
      <c r="E102" s="10" t="n"/>
      <c r="F102" s="13" t="n"/>
      <c r="G102" s="10" t="n"/>
      <c r="H102" s="10" t="n"/>
      <c r="I102" s="10" t="n"/>
      <c r="J102" s="10" t="n"/>
      <c r="K102" s="10">
        <f>IF(A102="","",TEXT(A102,"yyyy-mm"))</f>
        <v/>
      </c>
      <c r="L102" s="10">
        <f>IF(A102="","",WEEKNUM(A102))</f>
        <v/>
      </c>
      <c r="M102" s="10">
        <f>IF(A102="","",IF(COUNTIFS(A:A,A102,B:B,B102,F:F,F102)&gt;1,"⚠ Possible Duplicate",""))</f>
        <v/>
      </c>
      <c r="N102" s="10" t="n"/>
    </row>
    <row r="103">
      <c r="A103" s="10" t="n"/>
      <c r="B103" s="10" t="n"/>
      <c r="C103" s="10" t="n"/>
      <c r="D103" s="10" t="n"/>
      <c r="E103" s="10" t="n"/>
      <c r="F103" s="13" t="n"/>
      <c r="G103" s="10" t="n"/>
      <c r="H103" s="10" t="n"/>
      <c r="I103" s="10" t="n"/>
      <c r="J103" s="10" t="n"/>
      <c r="K103" s="10">
        <f>IF(A103="","",TEXT(A103,"yyyy-mm"))</f>
        <v/>
      </c>
      <c r="L103" s="10">
        <f>IF(A103="","",WEEKNUM(A103))</f>
        <v/>
      </c>
      <c r="M103" s="10">
        <f>IF(A103="","",IF(COUNTIFS(A:A,A103,B:B,B103,F:F,F103)&gt;1,"⚠ Possible Duplicate",""))</f>
        <v/>
      </c>
      <c r="N103" s="10" t="n"/>
    </row>
    <row r="104">
      <c r="A104" s="10" t="n"/>
      <c r="B104" s="10" t="n"/>
      <c r="C104" s="10" t="n"/>
      <c r="D104" s="10" t="n"/>
      <c r="E104" s="10" t="n"/>
      <c r="F104" s="13" t="n"/>
      <c r="G104" s="10" t="n"/>
      <c r="H104" s="10" t="n"/>
      <c r="I104" s="10" t="n"/>
      <c r="J104" s="10" t="n"/>
      <c r="K104" s="10">
        <f>IF(A104="","",TEXT(A104,"yyyy-mm"))</f>
        <v/>
      </c>
      <c r="L104" s="10">
        <f>IF(A104="","",WEEKNUM(A104))</f>
        <v/>
      </c>
      <c r="M104" s="10">
        <f>IF(A104="","",IF(COUNTIFS(A:A,A104,B:B,B104,F:F,F104)&gt;1,"⚠ Possible Duplicate",""))</f>
        <v/>
      </c>
      <c r="N104" s="10" t="n"/>
    </row>
    <row r="105">
      <c r="A105" s="10" t="n"/>
      <c r="B105" s="10" t="n"/>
      <c r="C105" s="10" t="n"/>
      <c r="D105" s="10" t="n"/>
      <c r="E105" s="10" t="n"/>
      <c r="F105" s="13" t="n"/>
      <c r="G105" s="10" t="n"/>
      <c r="H105" s="10" t="n"/>
      <c r="I105" s="10" t="n"/>
      <c r="J105" s="10" t="n"/>
      <c r="K105" s="10">
        <f>IF(A105="","",TEXT(A105,"yyyy-mm"))</f>
        <v/>
      </c>
      <c r="L105" s="10">
        <f>IF(A105="","",WEEKNUM(A105))</f>
        <v/>
      </c>
      <c r="M105" s="10">
        <f>IF(A105="","",IF(COUNTIFS(A:A,A105,B:B,B105,F:F,F105)&gt;1,"⚠ Possible Duplicate",""))</f>
        <v/>
      </c>
      <c r="N105" s="10" t="n"/>
    </row>
    <row r="106">
      <c r="A106" s="10" t="n"/>
      <c r="B106" s="10" t="n"/>
      <c r="C106" s="10" t="n"/>
      <c r="D106" s="10" t="n"/>
      <c r="E106" s="10" t="n"/>
      <c r="F106" s="13" t="n"/>
      <c r="G106" s="10" t="n"/>
      <c r="H106" s="10" t="n"/>
      <c r="I106" s="10" t="n"/>
      <c r="J106" s="10" t="n"/>
      <c r="K106" s="10">
        <f>IF(A106="","",TEXT(A106,"yyyy-mm"))</f>
        <v/>
      </c>
      <c r="L106" s="10">
        <f>IF(A106="","",WEEKNUM(A106))</f>
        <v/>
      </c>
      <c r="M106" s="10">
        <f>IF(A106="","",IF(COUNTIFS(A:A,A106,B:B,B106,F:F,F106)&gt;1,"⚠ Possible Duplicate",""))</f>
        <v/>
      </c>
      <c r="N106" s="10" t="n"/>
    </row>
    <row r="107">
      <c r="A107" s="10" t="n"/>
      <c r="B107" s="10" t="n"/>
      <c r="C107" s="10" t="n"/>
      <c r="D107" s="10" t="n"/>
      <c r="E107" s="10" t="n"/>
      <c r="F107" s="13" t="n"/>
      <c r="G107" s="10" t="n"/>
      <c r="H107" s="10" t="n"/>
      <c r="I107" s="10" t="n"/>
      <c r="J107" s="10" t="n"/>
      <c r="K107" s="10">
        <f>IF(A107="","",TEXT(A107,"yyyy-mm"))</f>
        <v/>
      </c>
      <c r="L107" s="10">
        <f>IF(A107="","",WEEKNUM(A107))</f>
        <v/>
      </c>
      <c r="M107" s="10">
        <f>IF(A107="","",IF(COUNTIFS(A:A,A107,B:B,B107,F:F,F107)&gt;1,"⚠ Possible Duplicate",""))</f>
        <v/>
      </c>
      <c r="N107" s="10" t="n"/>
    </row>
    <row r="108">
      <c r="A108" s="10" t="n"/>
      <c r="B108" s="10" t="n"/>
      <c r="C108" s="10" t="n"/>
      <c r="D108" s="10" t="n"/>
      <c r="E108" s="10" t="n"/>
      <c r="F108" s="13" t="n"/>
      <c r="G108" s="10" t="n"/>
      <c r="H108" s="10" t="n"/>
      <c r="I108" s="10" t="n"/>
      <c r="J108" s="10" t="n"/>
      <c r="K108" s="10">
        <f>IF(A108="","",TEXT(A108,"yyyy-mm"))</f>
        <v/>
      </c>
      <c r="L108" s="10">
        <f>IF(A108="","",WEEKNUM(A108))</f>
        <v/>
      </c>
      <c r="M108" s="10">
        <f>IF(A108="","",IF(COUNTIFS(A:A,A108,B:B,B108,F:F,F108)&gt;1,"⚠ Possible Duplicate",""))</f>
        <v/>
      </c>
      <c r="N108" s="10" t="n"/>
    </row>
    <row r="109">
      <c r="A109" s="10" t="n"/>
      <c r="B109" s="10" t="n"/>
      <c r="C109" s="10" t="n"/>
      <c r="D109" s="10" t="n"/>
      <c r="E109" s="10" t="n"/>
      <c r="F109" s="13" t="n"/>
      <c r="G109" s="10" t="n"/>
      <c r="H109" s="10" t="n"/>
      <c r="I109" s="10" t="n"/>
      <c r="J109" s="10" t="n"/>
      <c r="K109" s="10">
        <f>IF(A109="","",TEXT(A109,"yyyy-mm"))</f>
        <v/>
      </c>
      <c r="L109" s="10">
        <f>IF(A109="","",WEEKNUM(A109))</f>
        <v/>
      </c>
      <c r="M109" s="10">
        <f>IF(A109="","",IF(COUNTIFS(A:A,A109,B:B,B109,F:F,F109)&gt;1,"⚠ Possible Duplicate",""))</f>
        <v/>
      </c>
      <c r="N109" s="10" t="n"/>
    </row>
    <row r="110">
      <c r="A110" s="10" t="n"/>
      <c r="B110" s="10" t="n"/>
      <c r="C110" s="10" t="n"/>
      <c r="D110" s="10" t="n"/>
      <c r="E110" s="10" t="n"/>
      <c r="F110" s="13" t="n"/>
      <c r="G110" s="10" t="n"/>
      <c r="H110" s="10" t="n"/>
      <c r="I110" s="10" t="n"/>
      <c r="J110" s="10" t="n"/>
      <c r="K110" s="10">
        <f>IF(A110="","",TEXT(A110,"yyyy-mm"))</f>
        <v/>
      </c>
      <c r="L110" s="10">
        <f>IF(A110="","",WEEKNUM(A110))</f>
        <v/>
      </c>
      <c r="M110" s="10">
        <f>IF(A110="","",IF(COUNTIFS(A:A,A110,B:B,B110,F:F,F110)&gt;1,"⚠ Possible Duplicate",""))</f>
        <v/>
      </c>
      <c r="N110" s="10" t="n"/>
    </row>
    <row r="111">
      <c r="A111" s="10" t="n"/>
      <c r="B111" s="10" t="n"/>
      <c r="C111" s="10" t="n"/>
      <c r="D111" s="10" t="n"/>
      <c r="E111" s="10" t="n"/>
      <c r="F111" s="13" t="n"/>
      <c r="G111" s="10" t="n"/>
      <c r="H111" s="10" t="n"/>
      <c r="I111" s="10" t="n"/>
      <c r="J111" s="10" t="n"/>
      <c r="K111" s="10">
        <f>IF(A111="","",TEXT(A111,"yyyy-mm"))</f>
        <v/>
      </c>
      <c r="L111" s="10">
        <f>IF(A111="","",WEEKNUM(A111))</f>
        <v/>
      </c>
      <c r="M111" s="10">
        <f>IF(A111="","",IF(COUNTIFS(A:A,A111,B:B,B111,F:F,F111)&gt;1,"⚠ Possible Duplicate",""))</f>
        <v/>
      </c>
      <c r="N111" s="10" t="n"/>
    </row>
    <row r="112">
      <c r="A112" s="10" t="n"/>
      <c r="B112" s="10" t="n"/>
      <c r="C112" s="10" t="n"/>
      <c r="D112" s="10" t="n"/>
      <c r="E112" s="10" t="n"/>
      <c r="F112" s="13" t="n"/>
      <c r="G112" s="10" t="n"/>
      <c r="H112" s="10" t="n"/>
      <c r="I112" s="10" t="n"/>
      <c r="J112" s="10" t="n"/>
      <c r="K112" s="10">
        <f>IF(A112="","",TEXT(A112,"yyyy-mm"))</f>
        <v/>
      </c>
      <c r="L112" s="10">
        <f>IF(A112="","",WEEKNUM(A112))</f>
        <v/>
      </c>
      <c r="M112" s="10">
        <f>IF(A112="","",IF(COUNTIFS(A:A,A112,B:B,B112,F:F,F112)&gt;1,"⚠ Possible Duplicate",""))</f>
        <v/>
      </c>
      <c r="N112" s="10" t="n"/>
    </row>
    <row r="113">
      <c r="A113" s="10" t="n"/>
      <c r="B113" s="10" t="n"/>
      <c r="C113" s="10" t="n"/>
      <c r="D113" s="10" t="n"/>
      <c r="E113" s="10" t="n"/>
      <c r="F113" s="13" t="n"/>
      <c r="G113" s="10" t="n"/>
      <c r="H113" s="10" t="n"/>
      <c r="I113" s="10" t="n"/>
      <c r="J113" s="10" t="n"/>
      <c r="K113" s="10">
        <f>IF(A113="","",TEXT(A113,"yyyy-mm"))</f>
        <v/>
      </c>
      <c r="L113" s="10">
        <f>IF(A113="","",WEEKNUM(A113))</f>
        <v/>
      </c>
      <c r="M113" s="10">
        <f>IF(A113="","",IF(COUNTIFS(A:A,A113,B:B,B113,F:F,F113)&gt;1,"⚠ Possible Duplicate",""))</f>
        <v/>
      </c>
      <c r="N113" s="10" t="n"/>
    </row>
    <row r="114">
      <c r="A114" s="10" t="n"/>
      <c r="B114" s="10" t="n"/>
      <c r="C114" s="10" t="n"/>
      <c r="D114" s="10" t="n"/>
      <c r="E114" s="10" t="n"/>
      <c r="F114" s="13" t="n"/>
      <c r="G114" s="10" t="n"/>
      <c r="H114" s="10" t="n"/>
      <c r="I114" s="10" t="n"/>
      <c r="J114" s="10" t="n"/>
      <c r="K114" s="10">
        <f>IF(A114="","",TEXT(A114,"yyyy-mm"))</f>
        <v/>
      </c>
      <c r="L114" s="10">
        <f>IF(A114="","",WEEKNUM(A114))</f>
        <v/>
      </c>
      <c r="M114" s="10">
        <f>IF(A114="","",IF(COUNTIFS(A:A,A114,B:B,B114,F:F,F114)&gt;1,"⚠ Possible Duplicate",""))</f>
        <v/>
      </c>
      <c r="N114" s="10" t="n"/>
    </row>
    <row r="115">
      <c r="A115" s="10" t="n"/>
      <c r="B115" s="10" t="n"/>
      <c r="C115" s="10" t="n"/>
      <c r="D115" s="10" t="n"/>
      <c r="E115" s="10" t="n"/>
      <c r="F115" s="13" t="n"/>
      <c r="G115" s="10" t="n"/>
      <c r="H115" s="10" t="n"/>
      <c r="I115" s="10" t="n"/>
      <c r="J115" s="10" t="n"/>
      <c r="K115" s="10">
        <f>IF(A115="","",TEXT(A115,"yyyy-mm"))</f>
        <v/>
      </c>
      <c r="L115" s="10">
        <f>IF(A115="","",WEEKNUM(A115))</f>
        <v/>
      </c>
      <c r="M115" s="10">
        <f>IF(A115="","",IF(COUNTIFS(A:A,A115,B:B,B115,F:F,F115)&gt;1,"⚠ Possible Duplicate",""))</f>
        <v/>
      </c>
      <c r="N115" s="10" t="n"/>
    </row>
    <row r="116">
      <c r="A116" s="10" t="n"/>
      <c r="B116" s="10" t="n"/>
      <c r="C116" s="10" t="n"/>
      <c r="D116" s="10" t="n"/>
      <c r="E116" s="10" t="n"/>
      <c r="F116" s="13" t="n"/>
      <c r="G116" s="10" t="n"/>
      <c r="H116" s="10" t="n"/>
      <c r="I116" s="10" t="n"/>
      <c r="J116" s="10" t="n"/>
      <c r="K116" s="10">
        <f>IF(A116="","",TEXT(A116,"yyyy-mm"))</f>
        <v/>
      </c>
      <c r="L116" s="10">
        <f>IF(A116="","",WEEKNUM(A116))</f>
        <v/>
      </c>
      <c r="M116" s="10">
        <f>IF(A116="","",IF(COUNTIFS(A:A,A116,B:B,B116,F:F,F116)&gt;1,"⚠ Possible Duplicate",""))</f>
        <v/>
      </c>
      <c r="N116" s="10" t="n"/>
    </row>
    <row r="117">
      <c r="A117" s="10" t="n"/>
      <c r="B117" s="10" t="n"/>
      <c r="C117" s="10" t="n"/>
      <c r="D117" s="10" t="n"/>
      <c r="E117" s="10" t="n"/>
      <c r="F117" s="13" t="n"/>
      <c r="G117" s="10" t="n"/>
      <c r="H117" s="10" t="n"/>
      <c r="I117" s="10" t="n"/>
      <c r="J117" s="10" t="n"/>
      <c r="K117" s="10">
        <f>IF(A117="","",TEXT(A117,"yyyy-mm"))</f>
        <v/>
      </c>
      <c r="L117" s="10">
        <f>IF(A117="","",WEEKNUM(A117))</f>
        <v/>
      </c>
      <c r="M117" s="10">
        <f>IF(A117="","",IF(COUNTIFS(A:A,A117,B:B,B117,F:F,F117)&gt;1,"⚠ Possible Duplicate",""))</f>
        <v/>
      </c>
      <c r="N117" s="10" t="n"/>
    </row>
    <row r="118">
      <c r="A118" s="10" t="n"/>
      <c r="B118" s="10" t="n"/>
      <c r="C118" s="10" t="n"/>
      <c r="D118" s="10" t="n"/>
      <c r="E118" s="10" t="n"/>
      <c r="F118" s="13" t="n"/>
      <c r="G118" s="10" t="n"/>
      <c r="H118" s="10" t="n"/>
      <c r="I118" s="10" t="n"/>
      <c r="J118" s="10" t="n"/>
      <c r="K118" s="10">
        <f>IF(A118="","",TEXT(A118,"yyyy-mm"))</f>
        <v/>
      </c>
      <c r="L118" s="10">
        <f>IF(A118="","",WEEKNUM(A118))</f>
        <v/>
      </c>
      <c r="M118" s="10">
        <f>IF(A118="","",IF(COUNTIFS(A:A,A118,B:B,B118,F:F,F118)&gt;1,"⚠ Possible Duplicate",""))</f>
        <v/>
      </c>
      <c r="N118" s="10" t="n"/>
    </row>
    <row r="119">
      <c r="A119" s="10" t="n"/>
      <c r="B119" s="10" t="n"/>
      <c r="C119" s="10" t="n"/>
      <c r="D119" s="10" t="n"/>
      <c r="E119" s="10" t="n"/>
      <c r="F119" s="13" t="n"/>
      <c r="G119" s="10" t="n"/>
      <c r="H119" s="10" t="n"/>
      <c r="I119" s="10" t="n"/>
      <c r="J119" s="10" t="n"/>
      <c r="K119" s="10">
        <f>IF(A119="","",TEXT(A119,"yyyy-mm"))</f>
        <v/>
      </c>
      <c r="L119" s="10">
        <f>IF(A119="","",WEEKNUM(A119))</f>
        <v/>
      </c>
      <c r="M119" s="10">
        <f>IF(A119="","",IF(COUNTIFS(A:A,A119,B:B,B119,F:F,F119)&gt;1,"⚠ Possible Duplicate",""))</f>
        <v/>
      </c>
      <c r="N119" s="10" t="n"/>
    </row>
    <row r="120">
      <c r="A120" s="10" t="n"/>
      <c r="B120" s="10" t="n"/>
      <c r="C120" s="10" t="n"/>
      <c r="D120" s="10" t="n"/>
      <c r="E120" s="10" t="n"/>
      <c r="F120" s="13" t="n"/>
      <c r="G120" s="10" t="n"/>
      <c r="H120" s="10" t="n"/>
      <c r="I120" s="10" t="n"/>
      <c r="J120" s="10" t="n"/>
      <c r="K120" s="10">
        <f>IF(A120="","",TEXT(A120,"yyyy-mm"))</f>
        <v/>
      </c>
      <c r="L120" s="10">
        <f>IF(A120="","",WEEKNUM(A120))</f>
        <v/>
      </c>
      <c r="M120" s="10">
        <f>IF(A120="","",IF(COUNTIFS(A:A,A120,B:B,B120,F:F,F120)&gt;1,"⚠ Possible Duplicate",""))</f>
        <v/>
      </c>
      <c r="N120" s="10" t="n"/>
    </row>
    <row r="121">
      <c r="A121" s="10" t="n"/>
      <c r="B121" s="10" t="n"/>
      <c r="C121" s="10" t="n"/>
      <c r="D121" s="10" t="n"/>
      <c r="E121" s="10" t="n"/>
      <c r="F121" s="13" t="n"/>
      <c r="G121" s="10" t="n"/>
      <c r="H121" s="10" t="n"/>
      <c r="I121" s="10" t="n"/>
      <c r="J121" s="10" t="n"/>
      <c r="K121" s="10">
        <f>IF(A121="","",TEXT(A121,"yyyy-mm"))</f>
        <v/>
      </c>
      <c r="L121" s="10">
        <f>IF(A121="","",WEEKNUM(A121))</f>
        <v/>
      </c>
      <c r="M121" s="10">
        <f>IF(A121="","",IF(COUNTIFS(A:A,A121,B:B,B121,F:F,F121)&gt;1,"⚠ Possible Duplicate",""))</f>
        <v/>
      </c>
      <c r="N121" s="10" t="n"/>
    </row>
    <row r="122">
      <c r="A122" s="10" t="n"/>
      <c r="B122" s="10" t="n"/>
      <c r="C122" s="10" t="n"/>
      <c r="D122" s="10" t="n"/>
      <c r="E122" s="10" t="n"/>
      <c r="F122" s="13" t="n"/>
      <c r="G122" s="10" t="n"/>
      <c r="H122" s="10" t="n"/>
      <c r="I122" s="10" t="n"/>
      <c r="J122" s="10" t="n"/>
      <c r="K122" s="10">
        <f>IF(A122="","",TEXT(A122,"yyyy-mm"))</f>
        <v/>
      </c>
      <c r="L122" s="10">
        <f>IF(A122="","",WEEKNUM(A122))</f>
        <v/>
      </c>
      <c r="M122" s="10">
        <f>IF(A122="","",IF(COUNTIFS(A:A,A122,B:B,B122,F:F,F122)&gt;1,"⚠ Possible Duplicate",""))</f>
        <v/>
      </c>
      <c r="N122" s="10" t="n"/>
    </row>
    <row r="123">
      <c r="A123" s="10" t="n"/>
      <c r="B123" s="10" t="n"/>
      <c r="C123" s="10" t="n"/>
      <c r="D123" s="10" t="n"/>
      <c r="E123" s="10" t="n"/>
      <c r="F123" s="13" t="n"/>
      <c r="G123" s="10" t="n"/>
      <c r="H123" s="10" t="n"/>
      <c r="I123" s="10" t="n"/>
      <c r="J123" s="10" t="n"/>
      <c r="K123" s="10">
        <f>IF(A123="","",TEXT(A123,"yyyy-mm"))</f>
        <v/>
      </c>
      <c r="L123" s="10">
        <f>IF(A123="","",WEEKNUM(A123))</f>
        <v/>
      </c>
      <c r="M123" s="10">
        <f>IF(A123="","",IF(COUNTIFS(A:A,A123,B:B,B123,F:F,F123)&gt;1,"⚠ Possible Duplicate",""))</f>
        <v/>
      </c>
      <c r="N123" s="10" t="n"/>
    </row>
    <row r="124">
      <c r="A124" s="10" t="n"/>
      <c r="B124" s="10" t="n"/>
      <c r="C124" s="10" t="n"/>
      <c r="D124" s="10" t="n"/>
      <c r="E124" s="10" t="n"/>
      <c r="F124" s="13" t="n"/>
      <c r="G124" s="10" t="n"/>
      <c r="H124" s="10" t="n"/>
      <c r="I124" s="10" t="n"/>
      <c r="J124" s="10" t="n"/>
      <c r="K124" s="10">
        <f>IF(A124="","",TEXT(A124,"yyyy-mm"))</f>
        <v/>
      </c>
      <c r="L124" s="10">
        <f>IF(A124="","",WEEKNUM(A124))</f>
        <v/>
      </c>
      <c r="M124" s="10">
        <f>IF(A124="","",IF(COUNTIFS(A:A,A124,B:B,B124,F:F,F124)&gt;1,"⚠ Possible Duplicate",""))</f>
        <v/>
      </c>
      <c r="N124" s="10" t="n"/>
    </row>
    <row r="125">
      <c r="A125" s="10" t="n"/>
      <c r="B125" s="10" t="n"/>
      <c r="C125" s="10" t="n"/>
      <c r="D125" s="10" t="n"/>
      <c r="E125" s="10" t="n"/>
      <c r="F125" s="13" t="n"/>
      <c r="G125" s="10" t="n"/>
      <c r="H125" s="10" t="n"/>
      <c r="I125" s="10" t="n"/>
      <c r="J125" s="10" t="n"/>
      <c r="K125" s="10">
        <f>IF(A125="","",TEXT(A125,"yyyy-mm"))</f>
        <v/>
      </c>
      <c r="L125" s="10">
        <f>IF(A125="","",WEEKNUM(A125))</f>
        <v/>
      </c>
      <c r="M125" s="10">
        <f>IF(A125="","",IF(COUNTIFS(A:A,A125,B:B,B125,F:F,F125)&gt;1,"⚠ Possible Duplicate",""))</f>
        <v/>
      </c>
      <c r="N125" s="10" t="n"/>
    </row>
    <row r="126">
      <c r="A126" s="10" t="n"/>
      <c r="B126" s="10" t="n"/>
      <c r="C126" s="10" t="n"/>
      <c r="D126" s="10" t="n"/>
      <c r="E126" s="10" t="n"/>
      <c r="F126" s="13" t="n"/>
      <c r="G126" s="10" t="n"/>
      <c r="H126" s="10" t="n"/>
      <c r="I126" s="10" t="n"/>
      <c r="J126" s="10" t="n"/>
      <c r="K126" s="10">
        <f>IF(A126="","",TEXT(A126,"yyyy-mm"))</f>
        <v/>
      </c>
      <c r="L126" s="10">
        <f>IF(A126="","",WEEKNUM(A126))</f>
        <v/>
      </c>
      <c r="M126" s="10">
        <f>IF(A126="","",IF(COUNTIFS(A:A,A126,B:B,B126,F:F,F126)&gt;1,"⚠ Possible Duplicate",""))</f>
        <v/>
      </c>
      <c r="N126" s="10" t="n"/>
    </row>
    <row r="127">
      <c r="A127" s="10" t="n"/>
      <c r="B127" s="10" t="n"/>
      <c r="C127" s="10" t="n"/>
      <c r="D127" s="10" t="n"/>
      <c r="E127" s="10" t="n"/>
      <c r="F127" s="13" t="n"/>
      <c r="G127" s="10" t="n"/>
      <c r="H127" s="10" t="n"/>
      <c r="I127" s="10" t="n"/>
      <c r="J127" s="10" t="n"/>
      <c r="K127" s="10">
        <f>IF(A127="","",TEXT(A127,"yyyy-mm"))</f>
        <v/>
      </c>
      <c r="L127" s="10">
        <f>IF(A127="","",WEEKNUM(A127))</f>
        <v/>
      </c>
      <c r="M127" s="10">
        <f>IF(A127="","",IF(COUNTIFS(A:A,A127,B:B,B127,F:F,F127)&gt;1,"⚠ Possible Duplicate",""))</f>
        <v/>
      </c>
      <c r="N127" s="10" t="n"/>
    </row>
    <row r="128">
      <c r="A128" s="10" t="n"/>
      <c r="B128" s="10" t="n"/>
      <c r="C128" s="10" t="n"/>
      <c r="D128" s="10" t="n"/>
      <c r="E128" s="10" t="n"/>
      <c r="F128" s="13" t="n"/>
      <c r="G128" s="10" t="n"/>
      <c r="H128" s="10" t="n"/>
      <c r="I128" s="10" t="n"/>
      <c r="J128" s="10" t="n"/>
      <c r="K128" s="10">
        <f>IF(A128="","",TEXT(A128,"yyyy-mm"))</f>
        <v/>
      </c>
      <c r="L128" s="10">
        <f>IF(A128="","",WEEKNUM(A128))</f>
        <v/>
      </c>
      <c r="M128" s="10">
        <f>IF(A128="","",IF(COUNTIFS(A:A,A128,B:B,B128,F:F,F128)&gt;1,"⚠ Possible Duplicate",""))</f>
        <v/>
      </c>
      <c r="N128" s="10" t="n"/>
    </row>
    <row r="129">
      <c r="A129" s="10" t="n"/>
      <c r="B129" s="10" t="n"/>
      <c r="C129" s="10" t="n"/>
      <c r="D129" s="10" t="n"/>
      <c r="E129" s="10" t="n"/>
      <c r="F129" s="13" t="n"/>
      <c r="G129" s="10" t="n"/>
      <c r="H129" s="10" t="n"/>
      <c r="I129" s="10" t="n"/>
      <c r="J129" s="10" t="n"/>
      <c r="K129" s="10">
        <f>IF(A129="","",TEXT(A129,"yyyy-mm"))</f>
        <v/>
      </c>
      <c r="L129" s="10">
        <f>IF(A129="","",WEEKNUM(A129))</f>
        <v/>
      </c>
      <c r="M129" s="10">
        <f>IF(A129="","",IF(COUNTIFS(A:A,A129,B:B,B129,F:F,F129)&gt;1,"⚠ Possible Duplicate",""))</f>
        <v/>
      </c>
      <c r="N129" s="10" t="n"/>
    </row>
    <row r="130">
      <c r="A130" s="10" t="n"/>
      <c r="B130" s="10" t="n"/>
      <c r="C130" s="10" t="n"/>
      <c r="D130" s="10" t="n"/>
      <c r="E130" s="10" t="n"/>
      <c r="F130" s="13" t="n"/>
      <c r="G130" s="10" t="n"/>
      <c r="H130" s="10" t="n"/>
      <c r="I130" s="10" t="n"/>
      <c r="J130" s="10" t="n"/>
      <c r="K130" s="10">
        <f>IF(A130="","",TEXT(A130,"yyyy-mm"))</f>
        <v/>
      </c>
      <c r="L130" s="10">
        <f>IF(A130="","",WEEKNUM(A130))</f>
        <v/>
      </c>
      <c r="M130" s="10">
        <f>IF(A130="","",IF(COUNTIFS(A:A,A130,B:B,B130,F:F,F130)&gt;1,"⚠ Possible Duplicate",""))</f>
        <v/>
      </c>
      <c r="N130" s="10" t="n"/>
    </row>
    <row r="131">
      <c r="A131" s="10" t="n"/>
      <c r="B131" s="10" t="n"/>
      <c r="C131" s="10" t="n"/>
      <c r="D131" s="10" t="n"/>
      <c r="E131" s="10" t="n"/>
      <c r="F131" s="13" t="n"/>
      <c r="G131" s="10" t="n"/>
      <c r="H131" s="10" t="n"/>
      <c r="I131" s="10" t="n"/>
      <c r="J131" s="10" t="n"/>
      <c r="K131" s="10">
        <f>IF(A131="","",TEXT(A131,"yyyy-mm"))</f>
        <v/>
      </c>
      <c r="L131" s="10">
        <f>IF(A131="","",WEEKNUM(A131))</f>
        <v/>
      </c>
      <c r="M131" s="10">
        <f>IF(A131="","",IF(COUNTIFS(A:A,A131,B:B,B131,F:F,F131)&gt;1,"⚠ Possible Duplicate",""))</f>
        <v/>
      </c>
      <c r="N131" s="10" t="n"/>
    </row>
    <row r="132">
      <c r="A132" s="10" t="n"/>
      <c r="B132" s="10" t="n"/>
      <c r="C132" s="10" t="n"/>
      <c r="D132" s="10" t="n"/>
      <c r="E132" s="10" t="n"/>
      <c r="F132" s="13" t="n"/>
      <c r="G132" s="10" t="n"/>
      <c r="H132" s="10" t="n"/>
      <c r="I132" s="10" t="n"/>
      <c r="J132" s="10" t="n"/>
      <c r="K132" s="10">
        <f>IF(A132="","",TEXT(A132,"yyyy-mm"))</f>
        <v/>
      </c>
      <c r="L132" s="10">
        <f>IF(A132="","",WEEKNUM(A132))</f>
        <v/>
      </c>
      <c r="M132" s="10">
        <f>IF(A132="","",IF(COUNTIFS(A:A,A132,B:B,B132,F:F,F132)&gt;1,"⚠ Possible Duplicate",""))</f>
        <v/>
      </c>
      <c r="N132" s="10" t="n"/>
    </row>
    <row r="133">
      <c r="A133" s="10" t="n"/>
      <c r="B133" s="10" t="n"/>
      <c r="C133" s="10" t="n"/>
      <c r="D133" s="10" t="n"/>
      <c r="E133" s="10" t="n"/>
      <c r="F133" s="13" t="n"/>
      <c r="G133" s="10" t="n"/>
      <c r="H133" s="10" t="n"/>
      <c r="I133" s="10" t="n"/>
      <c r="J133" s="10" t="n"/>
      <c r="K133" s="10">
        <f>IF(A133="","",TEXT(A133,"yyyy-mm"))</f>
        <v/>
      </c>
      <c r="L133" s="10">
        <f>IF(A133="","",WEEKNUM(A133))</f>
        <v/>
      </c>
      <c r="M133" s="10">
        <f>IF(A133="","",IF(COUNTIFS(A:A,A133,B:B,B133,F:F,F133)&gt;1,"⚠ Possible Duplicate",""))</f>
        <v/>
      </c>
      <c r="N133" s="10" t="n"/>
    </row>
    <row r="134">
      <c r="A134" s="10" t="n"/>
      <c r="B134" s="10" t="n"/>
      <c r="C134" s="10" t="n"/>
      <c r="D134" s="10" t="n"/>
      <c r="E134" s="10" t="n"/>
      <c r="F134" s="13" t="n"/>
      <c r="G134" s="10" t="n"/>
      <c r="H134" s="10" t="n"/>
      <c r="I134" s="10" t="n"/>
      <c r="J134" s="10" t="n"/>
      <c r="K134" s="10">
        <f>IF(A134="","",TEXT(A134,"yyyy-mm"))</f>
        <v/>
      </c>
      <c r="L134" s="10">
        <f>IF(A134="","",WEEKNUM(A134))</f>
        <v/>
      </c>
      <c r="M134" s="10">
        <f>IF(A134="","",IF(COUNTIFS(A:A,A134,B:B,B134,F:F,F134)&gt;1,"⚠ Possible Duplicate",""))</f>
        <v/>
      </c>
      <c r="N134" s="10" t="n"/>
    </row>
    <row r="135">
      <c r="A135" s="10" t="n"/>
      <c r="B135" s="10" t="n"/>
      <c r="C135" s="10" t="n"/>
      <c r="D135" s="10" t="n"/>
      <c r="E135" s="10" t="n"/>
      <c r="F135" s="13" t="n"/>
      <c r="G135" s="10" t="n"/>
      <c r="H135" s="10" t="n"/>
      <c r="I135" s="10" t="n"/>
      <c r="J135" s="10" t="n"/>
      <c r="K135" s="10">
        <f>IF(A135="","",TEXT(A135,"yyyy-mm"))</f>
        <v/>
      </c>
      <c r="L135" s="10">
        <f>IF(A135="","",WEEKNUM(A135))</f>
        <v/>
      </c>
      <c r="M135" s="10">
        <f>IF(A135="","",IF(COUNTIFS(A:A,A135,B:B,B135,F:F,F135)&gt;1,"⚠ Possible Duplicate",""))</f>
        <v/>
      </c>
      <c r="N135" s="10" t="n"/>
    </row>
    <row r="136">
      <c r="A136" s="10" t="n"/>
      <c r="B136" s="10" t="n"/>
      <c r="C136" s="10" t="n"/>
      <c r="D136" s="10" t="n"/>
      <c r="E136" s="10" t="n"/>
      <c r="F136" s="13" t="n"/>
      <c r="G136" s="10" t="n"/>
      <c r="H136" s="10" t="n"/>
      <c r="I136" s="10" t="n"/>
      <c r="J136" s="10" t="n"/>
      <c r="K136" s="10">
        <f>IF(A136="","",TEXT(A136,"yyyy-mm"))</f>
        <v/>
      </c>
      <c r="L136" s="10">
        <f>IF(A136="","",WEEKNUM(A136))</f>
        <v/>
      </c>
      <c r="M136" s="10">
        <f>IF(A136="","",IF(COUNTIFS(A:A,A136,B:B,B136,F:F,F136)&gt;1,"⚠ Possible Duplicate",""))</f>
        <v/>
      </c>
      <c r="N136" s="10" t="n"/>
    </row>
    <row r="137">
      <c r="A137" s="10" t="n"/>
      <c r="B137" s="10" t="n"/>
      <c r="C137" s="10" t="n"/>
      <c r="D137" s="10" t="n"/>
      <c r="E137" s="10" t="n"/>
      <c r="F137" s="13" t="n"/>
      <c r="G137" s="10" t="n"/>
      <c r="H137" s="10" t="n"/>
      <c r="I137" s="10" t="n"/>
      <c r="J137" s="10" t="n"/>
      <c r="K137" s="10">
        <f>IF(A137="","",TEXT(A137,"yyyy-mm"))</f>
        <v/>
      </c>
      <c r="L137" s="10">
        <f>IF(A137="","",WEEKNUM(A137))</f>
        <v/>
      </c>
      <c r="M137" s="10">
        <f>IF(A137="","",IF(COUNTIFS(A:A,A137,B:B,B137,F:F,F137)&gt;1,"⚠ Possible Duplicate",""))</f>
        <v/>
      </c>
      <c r="N137" s="10" t="n"/>
    </row>
    <row r="138">
      <c r="A138" s="10" t="n"/>
      <c r="B138" s="10" t="n"/>
      <c r="C138" s="10" t="n"/>
      <c r="D138" s="10" t="n"/>
      <c r="E138" s="10" t="n"/>
      <c r="F138" s="13" t="n"/>
      <c r="G138" s="10" t="n"/>
      <c r="H138" s="10" t="n"/>
      <c r="I138" s="10" t="n"/>
      <c r="J138" s="10" t="n"/>
      <c r="K138" s="10">
        <f>IF(A138="","",TEXT(A138,"yyyy-mm"))</f>
        <v/>
      </c>
      <c r="L138" s="10">
        <f>IF(A138="","",WEEKNUM(A138))</f>
        <v/>
      </c>
      <c r="M138" s="10">
        <f>IF(A138="","",IF(COUNTIFS(A:A,A138,B:B,B138,F:F,F138)&gt;1,"⚠ Possible Duplicate",""))</f>
        <v/>
      </c>
      <c r="N138" s="10" t="n"/>
    </row>
    <row r="139">
      <c r="A139" s="10" t="n"/>
      <c r="B139" s="10" t="n"/>
      <c r="C139" s="10" t="n"/>
      <c r="D139" s="10" t="n"/>
      <c r="E139" s="10" t="n"/>
      <c r="F139" s="13" t="n"/>
      <c r="G139" s="10" t="n"/>
      <c r="H139" s="10" t="n"/>
      <c r="I139" s="10" t="n"/>
      <c r="J139" s="10" t="n"/>
      <c r="K139" s="10">
        <f>IF(A139="","",TEXT(A139,"yyyy-mm"))</f>
        <v/>
      </c>
      <c r="L139" s="10">
        <f>IF(A139="","",WEEKNUM(A139))</f>
        <v/>
      </c>
      <c r="M139" s="10">
        <f>IF(A139="","",IF(COUNTIFS(A:A,A139,B:B,B139,F:F,F139)&gt;1,"⚠ Possible Duplicate",""))</f>
        <v/>
      </c>
      <c r="N139" s="10" t="n"/>
    </row>
    <row r="140">
      <c r="A140" s="10" t="n"/>
      <c r="B140" s="10" t="n"/>
      <c r="C140" s="10" t="n"/>
      <c r="D140" s="10" t="n"/>
      <c r="E140" s="10" t="n"/>
      <c r="F140" s="13" t="n"/>
      <c r="G140" s="10" t="n"/>
      <c r="H140" s="10" t="n"/>
      <c r="I140" s="10" t="n"/>
      <c r="J140" s="10" t="n"/>
      <c r="K140" s="10">
        <f>IF(A140="","",TEXT(A140,"yyyy-mm"))</f>
        <v/>
      </c>
      <c r="L140" s="10">
        <f>IF(A140="","",WEEKNUM(A140))</f>
        <v/>
      </c>
      <c r="M140" s="10">
        <f>IF(A140="","",IF(COUNTIFS(A:A,A140,B:B,B140,F:F,F140)&gt;1,"⚠ Possible Duplicate",""))</f>
        <v/>
      </c>
      <c r="N140" s="10" t="n"/>
    </row>
    <row r="141">
      <c r="A141" s="10" t="n"/>
      <c r="B141" s="10" t="n"/>
      <c r="C141" s="10" t="n"/>
      <c r="D141" s="10" t="n"/>
      <c r="E141" s="10" t="n"/>
      <c r="F141" s="13" t="n"/>
      <c r="G141" s="10" t="n"/>
      <c r="H141" s="10" t="n"/>
      <c r="I141" s="10" t="n"/>
      <c r="J141" s="10" t="n"/>
      <c r="K141" s="10">
        <f>IF(A141="","",TEXT(A141,"yyyy-mm"))</f>
        <v/>
      </c>
      <c r="L141" s="10">
        <f>IF(A141="","",WEEKNUM(A141))</f>
        <v/>
      </c>
      <c r="M141" s="10">
        <f>IF(A141="","",IF(COUNTIFS(A:A,A141,B:B,B141,F:F,F141)&gt;1,"⚠ Possible Duplicate",""))</f>
        <v/>
      </c>
      <c r="N141" s="10" t="n"/>
    </row>
    <row r="142">
      <c r="A142" s="10" t="n"/>
      <c r="B142" s="10" t="n"/>
      <c r="C142" s="10" t="n"/>
      <c r="D142" s="10" t="n"/>
      <c r="E142" s="10" t="n"/>
      <c r="F142" s="13" t="n"/>
      <c r="G142" s="10" t="n"/>
      <c r="H142" s="10" t="n"/>
      <c r="I142" s="10" t="n"/>
      <c r="J142" s="10" t="n"/>
      <c r="K142" s="10">
        <f>IF(A142="","",TEXT(A142,"yyyy-mm"))</f>
        <v/>
      </c>
      <c r="L142" s="10">
        <f>IF(A142="","",WEEKNUM(A142))</f>
        <v/>
      </c>
      <c r="M142" s="10">
        <f>IF(A142="","",IF(COUNTIFS(A:A,A142,B:B,B142,F:F,F142)&gt;1,"⚠ Possible Duplicate",""))</f>
        <v/>
      </c>
      <c r="N142" s="10" t="n"/>
    </row>
    <row r="143">
      <c r="A143" s="10" t="n"/>
      <c r="B143" s="10" t="n"/>
      <c r="C143" s="10" t="n"/>
      <c r="D143" s="10" t="n"/>
      <c r="E143" s="10" t="n"/>
      <c r="F143" s="13" t="n"/>
      <c r="G143" s="10" t="n"/>
      <c r="H143" s="10" t="n"/>
      <c r="I143" s="10" t="n"/>
      <c r="J143" s="10" t="n"/>
      <c r="K143" s="10">
        <f>IF(A143="","",TEXT(A143,"yyyy-mm"))</f>
        <v/>
      </c>
      <c r="L143" s="10">
        <f>IF(A143="","",WEEKNUM(A143))</f>
        <v/>
      </c>
      <c r="M143" s="10">
        <f>IF(A143="","",IF(COUNTIFS(A:A,A143,B:B,B143,F:F,F143)&gt;1,"⚠ Possible Duplicate",""))</f>
        <v/>
      </c>
      <c r="N143" s="10" t="n"/>
    </row>
    <row r="144">
      <c r="A144" s="10" t="n"/>
      <c r="B144" s="10" t="n"/>
      <c r="C144" s="10" t="n"/>
      <c r="D144" s="10" t="n"/>
      <c r="E144" s="10" t="n"/>
      <c r="F144" s="13" t="n"/>
      <c r="G144" s="10" t="n"/>
      <c r="H144" s="10" t="n"/>
      <c r="I144" s="10" t="n"/>
      <c r="J144" s="10" t="n"/>
      <c r="K144" s="10">
        <f>IF(A144="","",TEXT(A144,"yyyy-mm"))</f>
        <v/>
      </c>
      <c r="L144" s="10">
        <f>IF(A144="","",WEEKNUM(A144))</f>
        <v/>
      </c>
      <c r="M144" s="10">
        <f>IF(A144="","",IF(COUNTIFS(A:A,A144,B:B,B144,F:F,F144)&gt;1,"⚠ Possible Duplicate",""))</f>
        <v/>
      </c>
      <c r="N144" s="10" t="n"/>
    </row>
    <row r="145">
      <c r="A145" s="10" t="n"/>
      <c r="B145" s="10" t="n"/>
      <c r="C145" s="10" t="n"/>
      <c r="D145" s="10" t="n"/>
      <c r="E145" s="10" t="n"/>
      <c r="F145" s="13" t="n"/>
      <c r="G145" s="10" t="n"/>
      <c r="H145" s="10" t="n"/>
      <c r="I145" s="10" t="n"/>
      <c r="J145" s="10" t="n"/>
      <c r="K145" s="10">
        <f>IF(A145="","",TEXT(A145,"yyyy-mm"))</f>
        <v/>
      </c>
      <c r="L145" s="10">
        <f>IF(A145="","",WEEKNUM(A145))</f>
        <v/>
      </c>
      <c r="M145" s="10">
        <f>IF(A145="","",IF(COUNTIFS(A:A,A145,B:B,B145,F:F,F145)&gt;1,"⚠ Possible Duplicate",""))</f>
        <v/>
      </c>
      <c r="N145" s="10" t="n"/>
    </row>
    <row r="146">
      <c r="A146" s="10" t="n"/>
      <c r="B146" s="10" t="n"/>
      <c r="C146" s="10" t="n"/>
      <c r="D146" s="10" t="n"/>
      <c r="E146" s="10" t="n"/>
      <c r="F146" s="13" t="n"/>
      <c r="G146" s="10" t="n"/>
      <c r="H146" s="10" t="n"/>
      <c r="I146" s="10" t="n"/>
      <c r="J146" s="10" t="n"/>
      <c r="K146" s="10">
        <f>IF(A146="","",TEXT(A146,"yyyy-mm"))</f>
        <v/>
      </c>
      <c r="L146" s="10">
        <f>IF(A146="","",WEEKNUM(A146))</f>
        <v/>
      </c>
      <c r="M146" s="10">
        <f>IF(A146="","",IF(COUNTIFS(A:A,A146,B:B,B146,F:F,F146)&gt;1,"⚠ Possible Duplicate",""))</f>
        <v/>
      </c>
      <c r="N146" s="10" t="n"/>
    </row>
    <row r="147">
      <c r="A147" s="10" t="n"/>
      <c r="B147" s="10" t="n"/>
      <c r="C147" s="10" t="n"/>
      <c r="D147" s="10" t="n"/>
      <c r="E147" s="10" t="n"/>
      <c r="F147" s="13" t="n"/>
      <c r="G147" s="10" t="n"/>
      <c r="H147" s="10" t="n"/>
      <c r="I147" s="10" t="n"/>
      <c r="J147" s="10" t="n"/>
      <c r="K147" s="10">
        <f>IF(A147="","",TEXT(A147,"yyyy-mm"))</f>
        <v/>
      </c>
      <c r="L147" s="10">
        <f>IF(A147="","",WEEKNUM(A147))</f>
        <v/>
      </c>
      <c r="M147" s="10">
        <f>IF(A147="","",IF(COUNTIFS(A:A,A147,B:B,B147,F:F,F147)&gt;1,"⚠ Possible Duplicate",""))</f>
        <v/>
      </c>
      <c r="N147" s="10" t="n"/>
    </row>
    <row r="148">
      <c r="A148" s="10" t="n"/>
      <c r="B148" s="10" t="n"/>
      <c r="C148" s="10" t="n"/>
      <c r="D148" s="10" t="n"/>
      <c r="E148" s="10" t="n"/>
      <c r="F148" s="13" t="n"/>
      <c r="G148" s="10" t="n"/>
      <c r="H148" s="10" t="n"/>
      <c r="I148" s="10" t="n"/>
      <c r="J148" s="10" t="n"/>
      <c r="K148" s="10">
        <f>IF(A148="","",TEXT(A148,"yyyy-mm"))</f>
        <v/>
      </c>
      <c r="L148" s="10">
        <f>IF(A148="","",WEEKNUM(A148))</f>
        <v/>
      </c>
      <c r="M148" s="10">
        <f>IF(A148="","",IF(COUNTIFS(A:A,A148,B:B,B148,F:F,F148)&gt;1,"⚠ Possible Duplicate",""))</f>
        <v/>
      </c>
      <c r="N148" s="10" t="n"/>
    </row>
    <row r="149">
      <c r="A149" s="10" t="n"/>
      <c r="B149" s="10" t="n"/>
      <c r="C149" s="10" t="n"/>
      <c r="D149" s="10" t="n"/>
      <c r="E149" s="10" t="n"/>
      <c r="F149" s="13" t="n"/>
      <c r="G149" s="10" t="n"/>
      <c r="H149" s="10" t="n"/>
      <c r="I149" s="10" t="n"/>
      <c r="J149" s="10" t="n"/>
      <c r="K149" s="10">
        <f>IF(A149="","",TEXT(A149,"yyyy-mm"))</f>
        <v/>
      </c>
      <c r="L149" s="10">
        <f>IF(A149="","",WEEKNUM(A149))</f>
        <v/>
      </c>
      <c r="M149" s="10">
        <f>IF(A149="","",IF(COUNTIFS(A:A,A149,B:B,B149,F:F,F149)&gt;1,"⚠ Possible Duplicate",""))</f>
        <v/>
      </c>
      <c r="N149" s="10" t="n"/>
    </row>
    <row r="150">
      <c r="A150" s="10" t="n"/>
      <c r="B150" s="10" t="n"/>
      <c r="C150" s="10" t="n"/>
      <c r="D150" s="10" t="n"/>
      <c r="E150" s="10" t="n"/>
      <c r="F150" s="13" t="n"/>
      <c r="G150" s="10" t="n"/>
      <c r="H150" s="10" t="n"/>
      <c r="I150" s="10" t="n"/>
      <c r="J150" s="10" t="n"/>
      <c r="K150" s="10">
        <f>IF(A150="","",TEXT(A150,"yyyy-mm"))</f>
        <v/>
      </c>
      <c r="L150" s="10">
        <f>IF(A150="","",WEEKNUM(A150))</f>
        <v/>
      </c>
      <c r="M150" s="10">
        <f>IF(A150="","",IF(COUNTIFS(A:A,A150,B:B,B150,F:F,F150)&gt;1,"⚠ Possible Duplicate",""))</f>
        <v/>
      </c>
      <c r="N150" s="10" t="n"/>
    </row>
    <row r="151">
      <c r="A151" s="10" t="n"/>
      <c r="B151" s="10" t="n"/>
      <c r="C151" s="10" t="n"/>
      <c r="D151" s="10" t="n"/>
      <c r="E151" s="10" t="n"/>
      <c r="F151" s="13" t="n"/>
      <c r="G151" s="10" t="n"/>
      <c r="H151" s="10" t="n"/>
      <c r="I151" s="10" t="n"/>
      <c r="J151" s="10" t="n"/>
      <c r="K151" s="10">
        <f>IF(A151="","",TEXT(A151,"yyyy-mm"))</f>
        <v/>
      </c>
      <c r="L151" s="10">
        <f>IF(A151="","",WEEKNUM(A151))</f>
        <v/>
      </c>
      <c r="M151" s="10">
        <f>IF(A151="","",IF(COUNTIFS(A:A,A151,B:B,B151,F:F,F151)&gt;1,"⚠ Possible Duplicate",""))</f>
        <v/>
      </c>
      <c r="N151" s="10" t="n"/>
    </row>
    <row r="152">
      <c r="A152" s="10" t="n"/>
      <c r="B152" s="10" t="n"/>
      <c r="C152" s="10" t="n"/>
      <c r="D152" s="10" t="n"/>
      <c r="E152" s="10" t="n"/>
      <c r="F152" s="13" t="n"/>
      <c r="G152" s="10" t="n"/>
      <c r="H152" s="10" t="n"/>
      <c r="I152" s="10" t="n"/>
      <c r="J152" s="10" t="n"/>
      <c r="K152" s="10">
        <f>IF(A152="","",TEXT(A152,"yyyy-mm"))</f>
        <v/>
      </c>
      <c r="L152" s="10">
        <f>IF(A152="","",WEEKNUM(A152))</f>
        <v/>
      </c>
      <c r="M152" s="10">
        <f>IF(A152="","",IF(COUNTIFS(A:A,A152,B:B,B152,F:F,F152)&gt;1,"⚠ Possible Duplicate",""))</f>
        <v/>
      </c>
      <c r="N152" s="10" t="n"/>
    </row>
    <row r="153">
      <c r="A153" s="10" t="n"/>
      <c r="B153" s="10" t="n"/>
      <c r="C153" s="10" t="n"/>
      <c r="D153" s="10" t="n"/>
      <c r="E153" s="10" t="n"/>
      <c r="F153" s="13" t="n"/>
      <c r="G153" s="10" t="n"/>
      <c r="H153" s="10" t="n"/>
      <c r="I153" s="10" t="n"/>
      <c r="J153" s="10" t="n"/>
      <c r="K153" s="10">
        <f>IF(A153="","",TEXT(A153,"yyyy-mm"))</f>
        <v/>
      </c>
      <c r="L153" s="10">
        <f>IF(A153="","",WEEKNUM(A153))</f>
        <v/>
      </c>
      <c r="M153" s="10">
        <f>IF(A153="","",IF(COUNTIFS(A:A,A153,B:B,B153,F:F,F153)&gt;1,"⚠ Possible Duplicate",""))</f>
        <v/>
      </c>
      <c r="N153" s="10" t="n"/>
    </row>
    <row r="154">
      <c r="A154" s="10" t="n"/>
      <c r="B154" s="10" t="n"/>
      <c r="C154" s="10" t="n"/>
      <c r="D154" s="10" t="n"/>
      <c r="E154" s="10" t="n"/>
      <c r="F154" s="13" t="n"/>
      <c r="G154" s="10" t="n"/>
      <c r="H154" s="10" t="n"/>
      <c r="I154" s="10" t="n"/>
      <c r="J154" s="10" t="n"/>
      <c r="K154" s="10">
        <f>IF(A154="","",TEXT(A154,"yyyy-mm"))</f>
        <v/>
      </c>
      <c r="L154" s="10">
        <f>IF(A154="","",WEEKNUM(A154))</f>
        <v/>
      </c>
      <c r="M154" s="10">
        <f>IF(A154="","",IF(COUNTIFS(A:A,A154,B:B,B154,F:F,F154)&gt;1,"⚠ Possible Duplicate",""))</f>
        <v/>
      </c>
      <c r="N154" s="10" t="n"/>
    </row>
    <row r="155">
      <c r="A155" s="10" t="n"/>
      <c r="B155" s="10" t="n"/>
      <c r="C155" s="10" t="n"/>
      <c r="D155" s="10" t="n"/>
      <c r="E155" s="10" t="n"/>
      <c r="F155" s="13" t="n"/>
      <c r="G155" s="10" t="n"/>
      <c r="H155" s="10" t="n"/>
      <c r="I155" s="10" t="n"/>
      <c r="J155" s="10" t="n"/>
      <c r="K155" s="10">
        <f>IF(A155="","",TEXT(A155,"yyyy-mm"))</f>
        <v/>
      </c>
      <c r="L155" s="10">
        <f>IF(A155="","",WEEKNUM(A155))</f>
        <v/>
      </c>
      <c r="M155" s="10">
        <f>IF(A155="","",IF(COUNTIFS(A:A,A155,B:B,B155,F:F,F155)&gt;1,"⚠ Possible Duplicate",""))</f>
        <v/>
      </c>
      <c r="N155" s="10" t="n"/>
    </row>
    <row r="156">
      <c r="A156" s="10" t="n"/>
      <c r="B156" s="10" t="n"/>
      <c r="C156" s="10" t="n"/>
      <c r="D156" s="10" t="n"/>
      <c r="E156" s="10" t="n"/>
      <c r="F156" s="13" t="n"/>
      <c r="G156" s="10" t="n"/>
      <c r="H156" s="10" t="n"/>
      <c r="I156" s="10" t="n"/>
      <c r="J156" s="10" t="n"/>
      <c r="K156" s="10">
        <f>IF(A156="","",TEXT(A156,"yyyy-mm"))</f>
        <v/>
      </c>
      <c r="L156" s="10">
        <f>IF(A156="","",WEEKNUM(A156))</f>
        <v/>
      </c>
      <c r="M156" s="10">
        <f>IF(A156="","",IF(COUNTIFS(A:A,A156,B:B,B156,F:F,F156)&gt;1,"⚠ Possible Duplicate",""))</f>
        <v/>
      </c>
      <c r="N156" s="10" t="n"/>
    </row>
    <row r="157">
      <c r="A157" s="10" t="n"/>
      <c r="B157" s="10" t="n"/>
      <c r="C157" s="10" t="n"/>
      <c r="D157" s="10" t="n"/>
      <c r="E157" s="10" t="n"/>
      <c r="F157" s="13" t="n"/>
      <c r="G157" s="10" t="n"/>
      <c r="H157" s="10" t="n"/>
      <c r="I157" s="10" t="n"/>
      <c r="J157" s="10" t="n"/>
      <c r="K157" s="10">
        <f>IF(A157="","",TEXT(A157,"yyyy-mm"))</f>
        <v/>
      </c>
      <c r="L157" s="10">
        <f>IF(A157="","",WEEKNUM(A157))</f>
        <v/>
      </c>
      <c r="M157" s="10">
        <f>IF(A157="","",IF(COUNTIFS(A:A,A157,B:B,B157,F:F,F157)&gt;1,"⚠ Possible Duplicate",""))</f>
        <v/>
      </c>
      <c r="N157" s="10" t="n"/>
    </row>
    <row r="158">
      <c r="A158" s="10" t="n"/>
      <c r="B158" s="10" t="n"/>
      <c r="C158" s="10" t="n"/>
      <c r="D158" s="10" t="n"/>
      <c r="E158" s="10" t="n"/>
      <c r="F158" s="13" t="n"/>
      <c r="G158" s="10" t="n"/>
      <c r="H158" s="10" t="n"/>
      <c r="I158" s="10" t="n"/>
      <c r="J158" s="10" t="n"/>
      <c r="K158" s="10">
        <f>IF(A158="","",TEXT(A158,"yyyy-mm"))</f>
        <v/>
      </c>
      <c r="L158" s="10">
        <f>IF(A158="","",WEEKNUM(A158))</f>
        <v/>
      </c>
      <c r="M158" s="10">
        <f>IF(A158="","",IF(COUNTIFS(A:A,A158,B:B,B158,F:F,F158)&gt;1,"⚠ Possible Duplicate",""))</f>
        <v/>
      </c>
      <c r="N158" s="10" t="n"/>
    </row>
    <row r="159">
      <c r="A159" s="10" t="n"/>
      <c r="B159" s="10" t="n"/>
      <c r="C159" s="10" t="n"/>
      <c r="D159" s="10" t="n"/>
      <c r="E159" s="10" t="n"/>
      <c r="F159" s="13" t="n"/>
      <c r="G159" s="10" t="n"/>
      <c r="H159" s="10" t="n"/>
      <c r="I159" s="10" t="n"/>
      <c r="J159" s="10" t="n"/>
      <c r="K159" s="10">
        <f>IF(A159="","",TEXT(A159,"yyyy-mm"))</f>
        <v/>
      </c>
      <c r="L159" s="10">
        <f>IF(A159="","",WEEKNUM(A159))</f>
        <v/>
      </c>
      <c r="M159" s="10">
        <f>IF(A159="","",IF(COUNTIFS(A:A,A159,B:B,B159,F:F,F159)&gt;1,"⚠ Possible Duplicate",""))</f>
        <v/>
      </c>
      <c r="N159" s="10" t="n"/>
    </row>
    <row r="160">
      <c r="A160" s="10" t="n"/>
      <c r="B160" s="10" t="n"/>
      <c r="C160" s="10" t="n"/>
      <c r="D160" s="10" t="n"/>
      <c r="E160" s="10" t="n"/>
      <c r="F160" s="13" t="n"/>
      <c r="G160" s="10" t="n"/>
      <c r="H160" s="10" t="n"/>
      <c r="I160" s="10" t="n"/>
      <c r="J160" s="10" t="n"/>
      <c r="K160" s="10">
        <f>IF(A160="","",TEXT(A160,"yyyy-mm"))</f>
        <v/>
      </c>
      <c r="L160" s="10">
        <f>IF(A160="","",WEEKNUM(A160))</f>
        <v/>
      </c>
      <c r="M160" s="10">
        <f>IF(A160="","",IF(COUNTIFS(A:A,A160,B:B,B160,F:F,F160)&gt;1,"⚠ Possible Duplicate",""))</f>
        <v/>
      </c>
      <c r="N160" s="10" t="n"/>
    </row>
    <row r="161">
      <c r="A161" s="10" t="n"/>
      <c r="B161" s="10" t="n"/>
      <c r="C161" s="10" t="n"/>
      <c r="D161" s="10" t="n"/>
      <c r="E161" s="10" t="n"/>
      <c r="F161" s="13" t="n"/>
      <c r="G161" s="10" t="n"/>
      <c r="H161" s="10" t="n"/>
      <c r="I161" s="10" t="n"/>
      <c r="J161" s="10" t="n"/>
      <c r="K161" s="10">
        <f>IF(A161="","",TEXT(A161,"yyyy-mm"))</f>
        <v/>
      </c>
      <c r="L161" s="10">
        <f>IF(A161="","",WEEKNUM(A161))</f>
        <v/>
      </c>
      <c r="M161" s="10">
        <f>IF(A161="","",IF(COUNTIFS(A:A,A161,B:B,B161,F:F,F161)&gt;1,"⚠ Possible Duplicate",""))</f>
        <v/>
      </c>
      <c r="N161" s="10" t="n"/>
    </row>
    <row r="162">
      <c r="A162" s="10" t="n"/>
      <c r="B162" s="10" t="n"/>
      <c r="C162" s="10" t="n"/>
      <c r="D162" s="10" t="n"/>
      <c r="E162" s="10" t="n"/>
      <c r="F162" s="13" t="n"/>
      <c r="G162" s="10" t="n"/>
      <c r="H162" s="10" t="n"/>
      <c r="I162" s="10" t="n"/>
      <c r="J162" s="10" t="n"/>
      <c r="K162" s="10">
        <f>IF(A162="","",TEXT(A162,"yyyy-mm"))</f>
        <v/>
      </c>
      <c r="L162" s="10">
        <f>IF(A162="","",WEEKNUM(A162))</f>
        <v/>
      </c>
      <c r="M162" s="10">
        <f>IF(A162="","",IF(COUNTIFS(A:A,A162,B:B,B162,F:F,F162)&gt;1,"⚠ Possible Duplicate",""))</f>
        <v/>
      </c>
      <c r="N162" s="10" t="n"/>
    </row>
    <row r="163">
      <c r="A163" s="10" t="n"/>
      <c r="B163" s="10" t="n"/>
      <c r="C163" s="10" t="n"/>
      <c r="D163" s="10" t="n"/>
      <c r="E163" s="10" t="n"/>
      <c r="F163" s="13" t="n"/>
      <c r="G163" s="10" t="n"/>
      <c r="H163" s="10" t="n"/>
      <c r="I163" s="10" t="n"/>
      <c r="J163" s="10" t="n"/>
      <c r="K163" s="10">
        <f>IF(A163="","",TEXT(A163,"yyyy-mm"))</f>
        <v/>
      </c>
      <c r="L163" s="10">
        <f>IF(A163="","",WEEKNUM(A163))</f>
        <v/>
      </c>
      <c r="M163" s="10">
        <f>IF(A163="","",IF(COUNTIFS(A:A,A163,B:B,B163,F:F,F163)&gt;1,"⚠ Possible Duplicate",""))</f>
        <v/>
      </c>
      <c r="N163" s="10" t="n"/>
    </row>
    <row r="164">
      <c r="A164" s="10" t="n"/>
      <c r="B164" s="10" t="n"/>
      <c r="C164" s="10" t="n"/>
      <c r="D164" s="10" t="n"/>
      <c r="E164" s="10" t="n"/>
      <c r="F164" s="13" t="n"/>
      <c r="G164" s="10" t="n"/>
      <c r="H164" s="10" t="n"/>
      <c r="I164" s="10" t="n"/>
      <c r="J164" s="10" t="n"/>
      <c r="K164" s="10">
        <f>IF(A164="","",TEXT(A164,"yyyy-mm"))</f>
        <v/>
      </c>
      <c r="L164" s="10">
        <f>IF(A164="","",WEEKNUM(A164))</f>
        <v/>
      </c>
      <c r="M164" s="10">
        <f>IF(A164="","",IF(COUNTIFS(A:A,A164,B:B,B164,F:F,F164)&gt;1,"⚠ Possible Duplicate",""))</f>
        <v/>
      </c>
      <c r="N164" s="10" t="n"/>
    </row>
    <row r="165">
      <c r="A165" s="10" t="n"/>
      <c r="B165" s="10" t="n"/>
      <c r="C165" s="10" t="n"/>
      <c r="D165" s="10" t="n"/>
      <c r="E165" s="10" t="n"/>
      <c r="F165" s="13" t="n"/>
      <c r="G165" s="10" t="n"/>
      <c r="H165" s="10" t="n"/>
      <c r="I165" s="10" t="n"/>
      <c r="J165" s="10" t="n"/>
      <c r="K165" s="10">
        <f>IF(A165="","",TEXT(A165,"yyyy-mm"))</f>
        <v/>
      </c>
      <c r="L165" s="10">
        <f>IF(A165="","",WEEKNUM(A165))</f>
        <v/>
      </c>
      <c r="M165" s="10">
        <f>IF(A165="","",IF(COUNTIFS(A:A,A165,B:B,B165,F:F,F165)&gt;1,"⚠ Possible Duplicate",""))</f>
        <v/>
      </c>
      <c r="N165" s="10" t="n"/>
    </row>
    <row r="166">
      <c r="A166" s="10" t="n"/>
      <c r="B166" s="10" t="n"/>
      <c r="C166" s="10" t="n"/>
      <c r="D166" s="10" t="n"/>
      <c r="E166" s="10" t="n"/>
      <c r="F166" s="13" t="n"/>
      <c r="G166" s="10" t="n"/>
      <c r="H166" s="10" t="n"/>
      <c r="I166" s="10" t="n"/>
      <c r="J166" s="10" t="n"/>
      <c r="K166" s="10">
        <f>IF(A166="","",TEXT(A166,"yyyy-mm"))</f>
        <v/>
      </c>
      <c r="L166" s="10">
        <f>IF(A166="","",WEEKNUM(A166))</f>
        <v/>
      </c>
      <c r="M166" s="10">
        <f>IF(A166="","",IF(COUNTIFS(A:A,A166,B:B,B166,F:F,F166)&gt;1,"⚠ Possible Duplicate",""))</f>
        <v/>
      </c>
      <c r="N166" s="10" t="n"/>
    </row>
    <row r="167">
      <c r="A167" s="10" t="n"/>
      <c r="B167" s="10" t="n"/>
      <c r="C167" s="10" t="n"/>
      <c r="D167" s="10" t="n"/>
      <c r="E167" s="10" t="n"/>
      <c r="F167" s="13" t="n"/>
      <c r="G167" s="10" t="n"/>
      <c r="H167" s="10" t="n"/>
      <c r="I167" s="10" t="n"/>
      <c r="J167" s="10" t="n"/>
      <c r="K167" s="10">
        <f>IF(A167="","",TEXT(A167,"yyyy-mm"))</f>
        <v/>
      </c>
      <c r="L167" s="10">
        <f>IF(A167="","",WEEKNUM(A167))</f>
        <v/>
      </c>
      <c r="M167" s="10">
        <f>IF(A167="","",IF(COUNTIFS(A:A,A167,B:B,B167,F:F,F167)&gt;1,"⚠ Possible Duplicate",""))</f>
        <v/>
      </c>
      <c r="N167" s="10" t="n"/>
    </row>
    <row r="168">
      <c r="A168" s="10" t="n"/>
      <c r="B168" s="10" t="n"/>
      <c r="C168" s="10" t="n"/>
      <c r="D168" s="10" t="n"/>
      <c r="E168" s="10" t="n"/>
      <c r="F168" s="13" t="n"/>
      <c r="G168" s="10" t="n"/>
      <c r="H168" s="10" t="n"/>
      <c r="I168" s="10" t="n"/>
      <c r="J168" s="10" t="n"/>
      <c r="K168" s="10">
        <f>IF(A168="","",TEXT(A168,"yyyy-mm"))</f>
        <v/>
      </c>
      <c r="L168" s="10">
        <f>IF(A168="","",WEEKNUM(A168))</f>
        <v/>
      </c>
      <c r="M168" s="10">
        <f>IF(A168="","",IF(COUNTIFS(A:A,A168,B:B,B168,F:F,F168)&gt;1,"⚠ Possible Duplicate",""))</f>
        <v/>
      </c>
      <c r="N168" s="10" t="n"/>
    </row>
    <row r="169">
      <c r="A169" s="10" t="n"/>
      <c r="B169" s="10" t="n"/>
      <c r="C169" s="10" t="n"/>
      <c r="D169" s="10" t="n"/>
      <c r="E169" s="10" t="n"/>
      <c r="F169" s="13" t="n"/>
      <c r="G169" s="10" t="n"/>
      <c r="H169" s="10" t="n"/>
      <c r="I169" s="10" t="n"/>
      <c r="J169" s="10" t="n"/>
      <c r="K169" s="10">
        <f>IF(A169="","",TEXT(A169,"yyyy-mm"))</f>
        <v/>
      </c>
      <c r="L169" s="10">
        <f>IF(A169="","",WEEKNUM(A169))</f>
        <v/>
      </c>
      <c r="M169" s="10">
        <f>IF(A169="","",IF(COUNTIFS(A:A,A169,B:B,B169,F:F,F169)&gt;1,"⚠ Possible Duplicate",""))</f>
        <v/>
      </c>
      <c r="N169" s="10" t="n"/>
    </row>
    <row r="170">
      <c r="A170" s="10" t="n"/>
      <c r="B170" s="10" t="n"/>
      <c r="C170" s="10" t="n"/>
      <c r="D170" s="10" t="n"/>
      <c r="E170" s="10" t="n"/>
      <c r="F170" s="13" t="n"/>
      <c r="G170" s="10" t="n"/>
      <c r="H170" s="10" t="n"/>
      <c r="I170" s="10" t="n"/>
      <c r="J170" s="10" t="n"/>
      <c r="K170" s="10">
        <f>IF(A170="","",TEXT(A170,"yyyy-mm"))</f>
        <v/>
      </c>
      <c r="L170" s="10">
        <f>IF(A170="","",WEEKNUM(A170))</f>
        <v/>
      </c>
      <c r="M170" s="10">
        <f>IF(A170="","",IF(COUNTIFS(A:A,A170,B:B,B170,F:F,F170)&gt;1,"⚠ Possible Duplicate",""))</f>
        <v/>
      </c>
      <c r="N170" s="10" t="n"/>
    </row>
    <row r="171">
      <c r="A171" s="10" t="n"/>
      <c r="B171" s="10" t="n"/>
      <c r="C171" s="10" t="n"/>
      <c r="D171" s="10" t="n"/>
      <c r="E171" s="10" t="n"/>
      <c r="F171" s="13" t="n"/>
      <c r="G171" s="10" t="n"/>
      <c r="H171" s="10" t="n"/>
      <c r="I171" s="10" t="n"/>
      <c r="J171" s="10" t="n"/>
      <c r="K171" s="10">
        <f>IF(A171="","",TEXT(A171,"yyyy-mm"))</f>
        <v/>
      </c>
      <c r="L171" s="10">
        <f>IF(A171="","",WEEKNUM(A171))</f>
        <v/>
      </c>
      <c r="M171" s="10">
        <f>IF(A171="","",IF(COUNTIFS(A:A,A171,B:B,B171,F:F,F171)&gt;1,"⚠ Possible Duplicate",""))</f>
        <v/>
      </c>
      <c r="N171" s="10" t="n"/>
    </row>
    <row r="172">
      <c r="A172" s="10" t="n"/>
      <c r="B172" s="10" t="n"/>
      <c r="C172" s="10" t="n"/>
      <c r="D172" s="10" t="n"/>
      <c r="E172" s="10" t="n"/>
      <c r="F172" s="13" t="n"/>
      <c r="G172" s="10" t="n"/>
      <c r="H172" s="10" t="n"/>
      <c r="I172" s="10" t="n"/>
      <c r="J172" s="10" t="n"/>
      <c r="K172" s="10">
        <f>IF(A172="","",TEXT(A172,"yyyy-mm"))</f>
        <v/>
      </c>
      <c r="L172" s="10">
        <f>IF(A172="","",WEEKNUM(A172))</f>
        <v/>
      </c>
      <c r="M172" s="10">
        <f>IF(A172="","",IF(COUNTIFS(A:A,A172,B:B,B172,F:F,F172)&gt;1,"⚠ Possible Duplicate",""))</f>
        <v/>
      </c>
      <c r="N172" s="10" t="n"/>
    </row>
    <row r="173">
      <c r="A173" s="10" t="n"/>
      <c r="B173" s="10" t="n"/>
      <c r="C173" s="10" t="n"/>
      <c r="D173" s="10" t="n"/>
      <c r="E173" s="10" t="n"/>
      <c r="F173" s="13" t="n"/>
      <c r="G173" s="10" t="n"/>
      <c r="H173" s="10" t="n"/>
      <c r="I173" s="10" t="n"/>
      <c r="J173" s="10" t="n"/>
      <c r="K173" s="10">
        <f>IF(A173="","",TEXT(A173,"yyyy-mm"))</f>
        <v/>
      </c>
      <c r="L173" s="10">
        <f>IF(A173="","",WEEKNUM(A173))</f>
        <v/>
      </c>
      <c r="M173" s="10">
        <f>IF(A173="","",IF(COUNTIFS(A:A,A173,B:B,B173,F:F,F173)&gt;1,"⚠ Possible Duplicate",""))</f>
        <v/>
      </c>
      <c r="N173" s="10" t="n"/>
    </row>
    <row r="174">
      <c r="A174" s="10" t="n"/>
      <c r="B174" s="10" t="n"/>
      <c r="C174" s="10" t="n"/>
      <c r="D174" s="10" t="n"/>
      <c r="E174" s="10" t="n"/>
      <c r="F174" s="13" t="n"/>
      <c r="G174" s="10" t="n"/>
      <c r="H174" s="10" t="n"/>
      <c r="I174" s="10" t="n"/>
      <c r="J174" s="10" t="n"/>
      <c r="K174" s="10">
        <f>IF(A174="","",TEXT(A174,"yyyy-mm"))</f>
        <v/>
      </c>
      <c r="L174" s="10">
        <f>IF(A174="","",WEEKNUM(A174))</f>
        <v/>
      </c>
      <c r="M174" s="10">
        <f>IF(A174="","",IF(COUNTIFS(A:A,A174,B:B,B174,F:F,F174)&gt;1,"⚠ Possible Duplicate",""))</f>
        <v/>
      </c>
      <c r="N174" s="10" t="n"/>
    </row>
    <row r="175">
      <c r="A175" s="10" t="n"/>
      <c r="B175" s="10" t="n"/>
      <c r="C175" s="10" t="n"/>
      <c r="D175" s="10" t="n"/>
      <c r="E175" s="10" t="n"/>
      <c r="F175" s="13" t="n"/>
      <c r="G175" s="10" t="n"/>
      <c r="H175" s="10" t="n"/>
      <c r="I175" s="10" t="n"/>
      <c r="J175" s="10" t="n"/>
      <c r="K175" s="10">
        <f>IF(A175="","",TEXT(A175,"yyyy-mm"))</f>
        <v/>
      </c>
      <c r="L175" s="10">
        <f>IF(A175="","",WEEKNUM(A175))</f>
        <v/>
      </c>
      <c r="M175" s="10">
        <f>IF(A175="","",IF(COUNTIFS(A:A,A175,B:B,B175,F:F,F175)&gt;1,"⚠ Possible Duplicate",""))</f>
        <v/>
      </c>
      <c r="N175" s="10" t="n"/>
    </row>
    <row r="176">
      <c r="A176" s="10" t="n"/>
      <c r="B176" s="10" t="n"/>
      <c r="C176" s="10" t="n"/>
      <c r="D176" s="10" t="n"/>
      <c r="E176" s="10" t="n"/>
      <c r="F176" s="13" t="n"/>
      <c r="G176" s="10" t="n"/>
      <c r="H176" s="10" t="n"/>
      <c r="I176" s="10" t="n"/>
      <c r="J176" s="10" t="n"/>
      <c r="K176" s="10">
        <f>IF(A176="","",TEXT(A176,"yyyy-mm"))</f>
        <v/>
      </c>
      <c r="L176" s="10">
        <f>IF(A176="","",WEEKNUM(A176))</f>
        <v/>
      </c>
      <c r="M176" s="10">
        <f>IF(A176="","",IF(COUNTIFS(A:A,A176,B:B,B176,F:F,F176)&gt;1,"⚠ Possible Duplicate",""))</f>
        <v/>
      </c>
      <c r="N176" s="10" t="n"/>
    </row>
    <row r="177">
      <c r="A177" s="10" t="n"/>
      <c r="B177" s="10" t="n"/>
      <c r="C177" s="10" t="n"/>
      <c r="D177" s="10" t="n"/>
      <c r="E177" s="10" t="n"/>
      <c r="F177" s="13" t="n"/>
      <c r="G177" s="10" t="n"/>
      <c r="H177" s="10" t="n"/>
      <c r="I177" s="10" t="n"/>
      <c r="J177" s="10" t="n"/>
      <c r="K177" s="10">
        <f>IF(A177="","",TEXT(A177,"yyyy-mm"))</f>
        <v/>
      </c>
      <c r="L177" s="10">
        <f>IF(A177="","",WEEKNUM(A177))</f>
        <v/>
      </c>
      <c r="M177" s="10">
        <f>IF(A177="","",IF(COUNTIFS(A:A,A177,B:B,B177,F:F,F177)&gt;1,"⚠ Possible Duplicate",""))</f>
        <v/>
      </c>
      <c r="N177" s="10" t="n"/>
    </row>
    <row r="178">
      <c r="A178" s="10" t="n"/>
      <c r="B178" s="10" t="n"/>
      <c r="C178" s="10" t="n"/>
      <c r="D178" s="10" t="n"/>
      <c r="E178" s="10" t="n"/>
      <c r="F178" s="13" t="n"/>
      <c r="G178" s="10" t="n"/>
      <c r="H178" s="10" t="n"/>
      <c r="I178" s="10" t="n"/>
      <c r="J178" s="10" t="n"/>
      <c r="K178" s="10">
        <f>IF(A178="","",TEXT(A178,"yyyy-mm"))</f>
        <v/>
      </c>
      <c r="L178" s="10">
        <f>IF(A178="","",WEEKNUM(A178))</f>
        <v/>
      </c>
      <c r="M178" s="10">
        <f>IF(A178="","",IF(COUNTIFS(A:A,A178,B:B,B178,F:F,F178)&gt;1,"⚠ Possible Duplicate",""))</f>
        <v/>
      </c>
      <c r="N178" s="10" t="n"/>
    </row>
    <row r="179">
      <c r="A179" s="10" t="n"/>
      <c r="B179" s="10" t="n"/>
      <c r="C179" s="10" t="n"/>
      <c r="D179" s="10" t="n"/>
      <c r="E179" s="10" t="n"/>
      <c r="F179" s="13" t="n"/>
      <c r="G179" s="10" t="n"/>
      <c r="H179" s="10" t="n"/>
      <c r="I179" s="10" t="n"/>
      <c r="J179" s="10" t="n"/>
      <c r="K179" s="10">
        <f>IF(A179="","",TEXT(A179,"yyyy-mm"))</f>
        <v/>
      </c>
      <c r="L179" s="10">
        <f>IF(A179="","",WEEKNUM(A179))</f>
        <v/>
      </c>
      <c r="M179" s="10">
        <f>IF(A179="","",IF(COUNTIFS(A:A,A179,B:B,B179,F:F,F179)&gt;1,"⚠ Possible Duplicate",""))</f>
        <v/>
      </c>
      <c r="N179" s="10" t="n"/>
    </row>
    <row r="180">
      <c r="A180" s="10" t="n"/>
      <c r="B180" s="10" t="n"/>
      <c r="C180" s="10" t="n"/>
      <c r="D180" s="10" t="n"/>
      <c r="E180" s="10" t="n"/>
      <c r="F180" s="13" t="n"/>
      <c r="G180" s="10" t="n"/>
      <c r="H180" s="10" t="n"/>
      <c r="I180" s="10" t="n"/>
      <c r="J180" s="10" t="n"/>
      <c r="K180" s="10">
        <f>IF(A180="","",TEXT(A180,"yyyy-mm"))</f>
        <v/>
      </c>
      <c r="L180" s="10">
        <f>IF(A180="","",WEEKNUM(A180))</f>
        <v/>
      </c>
      <c r="M180" s="10">
        <f>IF(A180="","",IF(COUNTIFS(A:A,A180,B:B,B180,F:F,F180)&gt;1,"⚠ Possible Duplicate",""))</f>
        <v/>
      </c>
      <c r="N180" s="10" t="n"/>
    </row>
    <row r="181">
      <c r="A181" s="10" t="n"/>
      <c r="B181" s="10" t="n"/>
      <c r="C181" s="10" t="n"/>
      <c r="D181" s="10" t="n"/>
      <c r="E181" s="10" t="n"/>
      <c r="F181" s="13" t="n"/>
      <c r="G181" s="10" t="n"/>
      <c r="H181" s="10" t="n"/>
      <c r="I181" s="10" t="n"/>
      <c r="J181" s="10" t="n"/>
      <c r="K181" s="10">
        <f>IF(A181="","",TEXT(A181,"yyyy-mm"))</f>
        <v/>
      </c>
      <c r="L181" s="10">
        <f>IF(A181="","",WEEKNUM(A181))</f>
        <v/>
      </c>
      <c r="M181" s="10">
        <f>IF(A181="","",IF(COUNTIFS(A:A,A181,B:B,B181,F:F,F181)&gt;1,"⚠ Possible Duplicate",""))</f>
        <v/>
      </c>
      <c r="N181" s="10" t="n"/>
    </row>
    <row r="182">
      <c r="A182" s="10" t="n"/>
      <c r="B182" s="10" t="n"/>
      <c r="C182" s="10" t="n"/>
      <c r="D182" s="10" t="n"/>
      <c r="E182" s="10" t="n"/>
      <c r="F182" s="13" t="n"/>
      <c r="G182" s="10" t="n"/>
      <c r="H182" s="10" t="n"/>
      <c r="I182" s="10" t="n"/>
      <c r="J182" s="10" t="n"/>
      <c r="K182" s="10">
        <f>IF(A182="","",TEXT(A182,"yyyy-mm"))</f>
        <v/>
      </c>
      <c r="L182" s="10">
        <f>IF(A182="","",WEEKNUM(A182))</f>
        <v/>
      </c>
      <c r="M182" s="10">
        <f>IF(A182="","",IF(COUNTIFS(A:A,A182,B:B,B182,F:F,F182)&gt;1,"⚠ Possible Duplicate",""))</f>
        <v/>
      </c>
      <c r="N182" s="10" t="n"/>
    </row>
    <row r="183">
      <c r="A183" s="10" t="n"/>
      <c r="B183" s="10" t="n"/>
      <c r="C183" s="10" t="n"/>
      <c r="D183" s="10" t="n"/>
      <c r="E183" s="10" t="n"/>
      <c r="F183" s="13" t="n"/>
      <c r="G183" s="10" t="n"/>
      <c r="H183" s="10" t="n"/>
      <c r="I183" s="10" t="n"/>
      <c r="J183" s="10" t="n"/>
      <c r="K183" s="10">
        <f>IF(A183="","",TEXT(A183,"yyyy-mm"))</f>
        <v/>
      </c>
      <c r="L183" s="10">
        <f>IF(A183="","",WEEKNUM(A183))</f>
        <v/>
      </c>
      <c r="M183" s="10">
        <f>IF(A183="","",IF(COUNTIFS(A:A,A183,B:B,B183,F:F,F183)&gt;1,"⚠ Possible Duplicate",""))</f>
        <v/>
      </c>
      <c r="N183" s="10" t="n"/>
    </row>
    <row r="184">
      <c r="A184" s="10" t="n"/>
      <c r="B184" s="10" t="n"/>
      <c r="C184" s="10" t="n"/>
      <c r="D184" s="10" t="n"/>
      <c r="E184" s="10" t="n"/>
      <c r="F184" s="13" t="n"/>
      <c r="G184" s="10" t="n"/>
      <c r="H184" s="10" t="n"/>
      <c r="I184" s="10" t="n"/>
      <c r="J184" s="10" t="n"/>
      <c r="K184" s="10">
        <f>IF(A184="","",TEXT(A184,"yyyy-mm"))</f>
        <v/>
      </c>
      <c r="L184" s="10">
        <f>IF(A184="","",WEEKNUM(A184))</f>
        <v/>
      </c>
      <c r="M184" s="10">
        <f>IF(A184="","",IF(COUNTIFS(A:A,A184,B:B,B184,F:F,F184)&gt;1,"⚠ Possible Duplicate",""))</f>
        <v/>
      </c>
      <c r="N184" s="10" t="n"/>
    </row>
    <row r="185">
      <c r="A185" s="10" t="n"/>
      <c r="B185" s="10" t="n"/>
      <c r="C185" s="10" t="n"/>
      <c r="D185" s="10" t="n"/>
      <c r="E185" s="10" t="n"/>
      <c r="F185" s="13" t="n"/>
      <c r="G185" s="10" t="n"/>
      <c r="H185" s="10" t="n"/>
      <c r="I185" s="10" t="n"/>
      <c r="J185" s="10" t="n"/>
      <c r="K185" s="10">
        <f>IF(A185="","",TEXT(A185,"yyyy-mm"))</f>
        <v/>
      </c>
      <c r="L185" s="10">
        <f>IF(A185="","",WEEKNUM(A185))</f>
        <v/>
      </c>
      <c r="M185" s="10">
        <f>IF(A185="","",IF(COUNTIFS(A:A,A185,B:B,B185,F:F,F185)&gt;1,"⚠ Possible Duplicate",""))</f>
        <v/>
      </c>
      <c r="N185" s="10" t="n"/>
    </row>
    <row r="186">
      <c r="A186" s="10" t="n"/>
      <c r="B186" s="10" t="n"/>
      <c r="C186" s="10" t="n"/>
      <c r="D186" s="10" t="n"/>
      <c r="E186" s="10" t="n"/>
      <c r="F186" s="13" t="n"/>
      <c r="G186" s="10" t="n"/>
      <c r="H186" s="10" t="n"/>
      <c r="I186" s="10" t="n"/>
      <c r="J186" s="10" t="n"/>
      <c r="K186" s="10">
        <f>IF(A186="","",TEXT(A186,"yyyy-mm"))</f>
        <v/>
      </c>
      <c r="L186" s="10">
        <f>IF(A186="","",WEEKNUM(A186))</f>
        <v/>
      </c>
      <c r="M186" s="10">
        <f>IF(A186="","",IF(COUNTIFS(A:A,A186,B:B,B186,F:F,F186)&gt;1,"⚠ Possible Duplicate",""))</f>
        <v/>
      </c>
      <c r="N186" s="10" t="n"/>
    </row>
    <row r="187">
      <c r="A187" s="10" t="n"/>
      <c r="B187" s="10" t="n"/>
      <c r="C187" s="10" t="n"/>
      <c r="D187" s="10" t="n"/>
      <c r="E187" s="10" t="n"/>
      <c r="F187" s="13" t="n"/>
      <c r="G187" s="10" t="n"/>
      <c r="H187" s="10" t="n"/>
      <c r="I187" s="10" t="n"/>
      <c r="J187" s="10" t="n"/>
      <c r="K187" s="10">
        <f>IF(A187="","",TEXT(A187,"yyyy-mm"))</f>
        <v/>
      </c>
      <c r="L187" s="10">
        <f>IF(A187="","",WEEKNUM(A187))</f>
        <v/>
      </c>
      <c r="M187" s="10">
        <f>IF(A187="","",IF(COUNTIFS(A:A,A187,B:B,B187,F:F,F187)&gt;1,"⚠ Possible Duplicate",""))</f>
        <v/>
      </c>
      <c r="N187" s="10" t="n"/>
    </row>
    <row r="188">
      <c r="A188" s="10" t="n"/>
      <c r="B188" s="10" t="n"/>
      <c r="C188" s="10" t="n"/>
      <c r="D188" s="10" t="n"/>
      <c r="E188" s="10" t="n"/>
      <c r="F188" s="13" t="n"/>
      <c r="G188" s="10" t="n"/>
      <c r="H188" s="10" t="n"/>
      <c r="I188" s="10" t="n"/>
      <c r="J188" s="10" t="n"/>
      <c r="K188" s="10">
        <f>IF(A188="","",TEXT(A188,"yyyy-mm"))</f>
        <v/>
      </c>
      <c r="L188" s="10">
        <f>IF(A188="","",WEEKNUM(A188))</f>
        <v/>
      </c>
      <c r="M188" s="10">
        <f>IF(A188="","",IF(COUNTIFS(A:A,A188,B:B,B188,F:F,F188)&gt;1,"⚠ Possible Duplicate",""))</f>
        <v/>
      </c>
      <c r="N188" s="10" t="n"/>
    </row>
    <row r="189">
      <c r="A189" s="10" t="n"/>
      <c r="B189" s="10" t="n"/>
      <c r="C189" s="10" t="n"/>
      <c r="D189" s="10" t="n"/>
      <c r="E189" s="10" t="n"/>
      <c r="F189" s="13" t="n"/>
      <c r="G189" s="10" t="n"/>
      <c r="H189" s="10" t="n"/>
      <c r="I189" s="10" t="n"/>
      <c r="J189" s="10" t="n"/>
      <c r="K189" s="10">
        <f>IF(A189="","",TEXT(A189,"yyyy-mm"))</f>
        <v/>
      </c>
      <c r="L189" s="10">
        <f>IF(A189="","",WEEKNUM(A189))</f>
        <v/>
      </c>
      <c r="M189" s="10">
        <f>IF(A189="","",IF(COUNTIFS(A:A,A189,B:B,B189,F:F,F189)&gt;1,"⚠ Possible Duplicate",""))</f>
        <v/>
      </c>
      <c r="N189" s="10" t="n"/>
    </row>
    <row r="190">
      <c r="A190" s="10" t="n"/>
      <c r="B190" s="10" t="n"/>
      <c r="C190" s="10" t="n"/>
      <c r="D190" s="10" t="n"/>
      <c r="E190" s="10" t="n"/>
      <c r="F190" s="13" t="n"/>
      <c r="G190" s="10" t="n"/>
      <c r="H190" s="10" t="n"/>
      <c r="I190" s="10" t="n"/>
      <c r="J190" s="10" t="n"/>
      <c r="K190" s="10">
        <f>IF(A190="","",TEXT(A190,"yyyy-mm"))</f>
        <v/>
      </c>
      <c r="L190" s="10">
        <f>IF(A190="","",WEEKNUM(A190))</f>
        <v/>
      </c>
      <c r="M190" s="10">
        <f>IF(A190="","",IF(COUNTIFS(A:A,A190,B:B,B190,F:F,F190)&gt;1,"⚠ Possible Duplicate",""))</f>
        <v/>
      </c>
      <c r="N190" s="10" t="n"/>
    </row>
    <row r="191">
      <c r="A191" s="10" t="n"/>
      <c r="B191" s="10" t="n"/>
      <c r="C191" s="10" t="n"/>
      <c r="D191" s="10" t="n"/>
      <c r="E191" s="10" t="n"/>
      <c r="F191" s="13" t="n"/>
      <c r="G191" s="10" t="n"/>
      <c r="H191" s="10" t="n"/>
      <c r="I191" s="10" t="n"/>
      <c r="J191" s="10" t="n"/>
      <c r="K191" s="10">
        <f>IF(A191="","",TEXT(A191,"yyyy-mm"))</f>
        <v/>
      </c>
      <c r="L191" s="10">
        <f>IF(A191="","",WEEKNUM(A191))</f>
        <v/>
      </c>
      <c r="M191" s="10">
        <f>IF(A191="","",IF(COUNTIFS(A:A,A191,B:B,B191,F:F,F191)&gt;1,"⚠ Possible Duplicate",""))</f>
        <v/>
      </c>
      <c r="N191" s="10" t="n"/>
    </row>
    <row r="192">
      <c r="A192" s="10" t="n"/>
      <c r="B192" s="10" t="n"/>
      <c r="C192" s="10" t="n"/>
      <c r="D192" s="10" t="n"/>
      <c r="E192" s="10" t="n"/>
      <c r="F192" s="13" t="n"/>
      <c r="G192" s="10" t="n"/>
      <c r="H192" s="10" t="n"/>
      <c r="I192" s="10" t="n"/>
      <c r="J192" s="10" t="n"/>
      <c r="K192" s="10">
        <f>IF(A192="","",TEXT(A192,"yyyy-mm"))</f>
        <v/>
      </c>
      <c r="L192" s="10">
        <f>IF(A192="","",WEEKNUM(A192))</f>
        <v/>
      </c>
      <c r="M192" s="10">
        <f>IF(A192="","",IF(COUNTIFS(A:A,A192,B:B,B192,F:F,F192)&gt;1,"⚠ Possible Duplicate",""))</f>
        <v/>
      </c>
      <c r="N192" s="10" t="n"/>
    </row>
    <row r="193">
      <c r="A193" s="10" t="n"/>
      <c r="B193" s="10" t="n"/>
      <c r="C193" s="10" t="n"/>
      <c r="D193" s="10" t="n"/>
      <c r="E193" s="10" t="n"/>
      <c r="F193" s="13" t="n"/>
      <c r="G193" s="10" t="n"/>
      <c r="H193" s="10" t="n"/>
      <c r="I193" s="10" t="n"/>
      <c r="J193" s="10" t="n"/>
      <c r="K193" s="10">
        <f>IF(A193="","",TEXT(A193,"yyyy-mm"))</f>
        <v/>
      </c>
      <c r="L193" s="10">
        <f>IF(A193="","",WEEKNUM(A193))</f>
        <v/>
      </c>
      <c r="M193" s="10">
        <f>IF(A193="","",IF(COUNTIFS(A:A,A193,B:B,B193,F:F,F193)&gt;1,"⚠ Possible Duplicate",""))</f>
        <v/>
      </c>
      <c r="N193" s="10" t="n"/>
    </row>
    <row r="194">
      <c r="A194" s="10" t="n"/>
      <c r="B194" s="10" t="n"/>
      <c r="C194" s="10" t="n"/>
      <c r="D194" s="10" t="n"/>
      <c r="E194" s="10" t="n"/>
      <c r="F194" s="13" t="n"/>
      <c r="G194" s="10" t="n"/>
      <c r="H194" s="10" t="n"/>
      <c r="I194" s="10" t="n"/>
      <c r="J194" s="10" t="n"/>
      <c r="K194" s="10">
        <f>IF(A194="","",TEXT(A194,"yyyy-mm"))</f>
        <v/>
      </c>
      <c r="L194" s="10">
        <f>IF(A194="","",WEEKNUM(A194))</f>
        <v/>
      </c>
      <c r="M194" s="10">
        <f>IF(A194="","",IF(COUNTIFS(A:A,A194,B:B,B194,F:F,F194)&gt;1,"⚠ Possible Duplicate",""))</f>
        <v/>
      </c>
      <c r="N194" s="10" t="n"/>
    </row>
    <row r="195">
      <c r="A195" s="10" t="n"/>
      <c r="B195" s="10" t="n"/>
      <c r="C195" s="10" t="n"/>
      <c r="D195" s="10" t="n"/>
      <c r="E195" s="10" t="n"/>
      <c r="F195" s="13" t="n"/>
      <c r="G195" s="10" t="n"/>
      <c r="H195" s="10" t="n"/>
      <c r="I195" s="10" t="n"/>
      <c r="J195" s="10" t="n"/>
      <c r="K195" s="10">
        <f>IF(A195="","",TEXT(A195,"yyyy-mm"))</f>
        <v/>
      </c>
      <c r="L195" s="10">
        <f>IF(A195="","",WEEKNUM(A195))</f>
        <v/>
      </c>
      <c r="M195" s="10">
        <f>IF(A195="","",IF(COUNTIFS(A:A,A195,B:B,B195,F:F,F195)&gt;1,"⚠ Possible Duplicate",""))</f>
        <v/>
      </c>
      <c r="N195" s="10" t="n"/>
    </row>
    <row r="196">
      <c r="A196" s="10" t="n"/>
      <c r="B196" s="10" t="n"/>
      <c r="C196" s="10" t="n"/>
      <c r="D196" s="10" t="n"/>
      <c r="E196" s="10" t="n"/>
      <c r="F196" s="13" t="n"/>
      <c r="G196" s="10" t="n"/>
      <c r="H196" s="10" t="n"/>
      <c r="I196" s="10" t="n"/>
      <c r="J196" s="10" t="n"/>
      <c r="K196" s="10">
        <f>IF(A196="","",TEXT(A196,"yyyy-mm"))</f>
        <v/>
      </c>
      <c r="L196" s="10">
        <f>IF(A196="","",WEEKNUM(A196))</f>
        <v/>
      </c>
      <c r="M196" s="10">
        <f>IF(A196="","",IF(COUNTIFS(A:A,A196,B:B,B196,F:F,F196)&gt;1,"⚠ Possible Duplicate",""))</f>
        <v/>
      </c>
      <c r="N196" s="10" t="n"/>
    </row>
    <row r="197">
      <c r="A197" s="10" t="n"/>
      <c r="B197" s="10" t="n"/>
      <c r="C197" s="10" t="n"/>
      <c r="D197" s="10" t="n"/>
      <c r="E197" s="10" t="n"/>
      <c r="F197" s="13" t="n"/>
      <c r="G197" s="10" t="n"/>
      <c r="H197" s="10" t="n"/>
      <c r="I197" s="10" t="n"/>
      <c r="J197" s="10" t="n"/>
      <c r="K197" s="10">
        <f>IF(A197="","",TEXT(A197,"yyyy-mm"))</f>
        <v/>
      </c>
      <c r="L197" s="10">
        <f>IF(A197="","",WEEKNUM(A197))</f>
        <v/>
      </c>
      <c r="M197" s="10">
        <f>IF(A197="","",IF(COUNTIFS(A:A,A197,B:B,B197,F:F,F197)&gt;1,"⚠ Possible Duplicate",""))</f>
        <v/>
      </c>
      <c r="N197" s="10" t="n"/>
    </row>
    <row r="198">
      <c r="A198" s="10" t="n"/>
      <c r="B198" s="10" t="n"/>
      <c r="C198" s="10" t="n"/>
      <c r="D198" s="10" t="n"/>
      <c r="E198" s="10" t="n"/>
      <c r="F198" s="13" t="n"/>
      <c r="G198" s="10" t="n"/>
      <c r="H198" s="10" t="n"/>
      <c r="I198" s="10" t="n"/>
      <c r="J198" s="10" t="n"/>
      <c r="K198" s="10">
        <f>IF(A198="","",TEXT(A198,"yyyy-mm"))</f>
        <v/>
      </c>
      <c r="L198" s="10">
        <f>IF(A198="","",WEEKNUM(A198))</f>
        <v/>
      </c>
      <c r="M198" s="10">
        <f>IF(A198="","",IF(COUNTIFS(A:A,A198,B:B,B198,F:F,F198)&gt;1,"⚠ Possible Duplicate",""))</f>
        <v/>
      </c>
      <c r="N198" s="10" t="n"/>
    </row>
    <row r="199">
      <c r="A199" s="10" t="n"/>
      <c r="B199" s="10" t="n"/>
      <c r="C199" s="10" t="n"/>
      <c r="D199" s="10" t="n"/>
      <c r="E199" s="10" t="n"/>
      <c r="F199" s="13" t="n"/>
      <c r="G199" s="10" t="n"/>
      <c r="H199" s="10" t="n"/>
      <c r="I199" s="10" t="n"/>
      <c r="J199" s="10" t="n"/>
      <c r="K199" s="10">
        <f>IF(A199="","",TEXT(A199,"yyyy-mm"))</f>
        <v/>
      </c>
      <c r="L199" s="10">
        <f>IF(A199="","",WEEKNUM(A199))</f>
        <v/>
      </c>
      <c r="M199" s="10">
        <f>IF(A199="","",IF(COUNTIFS(A:A,A199,B:B,B199,F:F,F199)&gt;1,"⚠ Possible Duplicate",""))</f>
        <v/>
      </c>
      <c r="N199" s="10" t="n"/>
    </row>
    <row r="200">
      <c r="A200" s="10" t="n"/>
      <c r="B200" s="10" t="n"/>
      <c r="C200" s="10" t="n"/>
      <c r="D200" s="10" t="n"/>
      <c r="E200" s="10" t="n"/>
      <c r="F200" s="13" t="n"/>
      <c r="G200" s="10" t="n"/>
      <c r="H200" s="10" t="n"/>
      <c r="I200" s="10" t="n"/>
      <c r="J200" s="10" t="n"/>
      <c r="K200" s="10">
        <f>IF(A200="","",TEXT(A200,"yyyy-mm"))</f>
        <v/>
      </c>
      <c r="L200" s="10">
        <f>IF(A200="","",WEEKNUM(A200))</f>
        <v/>
      </c>
      <c r="M200" s="10">
        <f>IF(A200="","",IF(COUNTIFS(A:A,A200,B:B,B200,F:F,F200)&gt;1,"⚠ Possible Duplicate",""))</f>
        <v/>
      </c>
      <c r="N200" s="10" t="n"/>
    </row>
    <row r="201">
      <c r="A201" s="10" t="n"/>
      <c r="B201" s="10" t="n"/>
      <c r="C201" s="10" t="n"/>
      <c r="D201" s="10" t="n"/>
      <c r="E201" s="10" t="n"/>
      <c r="F201" s="13" t="n"/>
      <c r="G201" s="10" t="n"/>
      <c r="H201" s="10" t="n"/>
      <c r="I201" s="10" t="n"/>
      <c r="J201" s="10" t="n"/>
      <c r="K201" s="10">
        <f>IF(A201="","",TEXT(A201,"yyyy-mm"))</f>
        <v/>
      </c>
      <c r="L201" s="10">
        <f>IF(A201="","",WEEKNUM(A201))</f>
        <v/>
      </c>
      <c r="M201" s="10">
        <f>IF(A201="","",IF(COUNTIFS(A:A,A201,B:B,B201,F:F,F201)&gt;1,"⚠ Possible Duplicate",""))</f>
        <v/>
      </c>
      <c r="N201" s="10" t="n"/>
    </row>
    <row r="202">
      <c r="A202" s="10" t="n"/>
      <c r="B202" s="10" t="n"/>
      <c r="C202" s="10" t="n"/>
      <c r="D202" s="10" t="n"/>
      <c r="E202" s="10" t="n"/>
      <c r="F202" s="13" t="n"/>
      <c r="G202" s="10" t="n"/>
      <c r="H202" s="10" t="n"/>
      <c r="I202" s="10" t="n"/>
      <c r="J202" s="10" t="n"/>
      <c r="K202" s="10">
        <f>IF(A202="","",TEXT(A202,"yyyy-mm"))</f>
        <v/>
      </c>
      <c r="L202" s="10">
        <f>IF(A202="","",WEEKNUM(A202))</f>
        <v/>
      </c>
      <c r="M202" s="10">
        <f>IF(A202="","",IF(COUNTIFS(A:A,A202,B:B,B202,F:F,F202)&gt;1,"⚠ Possible Duplicate",""))</f>
        <v/>
      </c>
      <c r="N202" s="10" t="n"/>
    </row>
    <row r="203">
      <c r="A203" s="10" t="n"/>
      <c r="B203" s="10" t="n"/>
      <c r="C203" s="10" t="n"/>
      <c r="D203" s="10" t="n"/>
      <c r="E203" s="10" t="n"/>
      <c r="F203" s="13" t="n"/>
      <c r="G203" s="10" t="n"/>
      <c r="H203" s="10" t="n"/>
      <c r="I203" s="10" t="n"/>
      <c r="J203" s="10" t="n"/>
      <c r="K203" s="10">
        <f>IF(A203="","",TEXT(A203,"yyyy-mm"))</f>
        <v/>
      </c>
      <c r="L203" s="10">
        <f>IF(A203="","",WEEKNUM(A203))</f>
        <v/>
      </c>
      <c r="M203" s="10">
        <f>IF(A203="","",IF(COUNTIFS(A:A,A203,B:B,B203,F:F,F203)&gt;1,"⚠ Possible Duplicate",""))</f>
        <v/>
      </c>
      <c r="N203" s="10" t="n"/>
    </row>
    <row r="204">
      <c r="A204" s="10" t="n"/>
      <c r="B204" s="10" t="n"/>
      <c r="C204" s="10" t="n"/>
      <c r="D204" s="10" t="n"/>
      <c r="E204" s="10" t="n"/>
      <c r="F204" s="13" t="n"/>
      <c r="G204" s="10" t="n"/>
      <c r="H204" s="10" t="n"/>
      <c r="I204" s="10" t="n"/>
      <c r="J204" s="10" t="n"/>
      <c r="K204" s="10">
        <f>IF(A204="","",TEXT(A204,"yyyy-mm"))</f>
        <v/>
      </c>
      <c r="L204" s="10">
        <f>IF(A204="","",WEEKNUM(A204))</f>
        <v/>
      </c>
      <c r="M204" s="10">
        <f>IF(A204="","",IF(COUNTIFS(A:A,A204,B:B,B204,F:F,F204)&gt;1,"⚠ Possible Duplicate",""))</f>
        <v/>
      </c>
      <c r="N204" s="10" t="n"/>
    </row>
    <row r="205">
      <c r="A205" s="10" t="n"/>
      <c r="B205" s="10" t="n"/>
      <c r="C205" s="10" t="n"/>
      <c r="D205" s="10" t="n"/>
      <c r="E205" s="10" t="n"/>
      <c r="F205" s="13" t="n"/>
      <c r="G205" s="10" t="n"/>
      <c r="H205" s="10" t="n"/>
      <c r="I205" s="10" t="n"/>
      <c r="J205" s="10" t="n"/>
      <c r="K205" s="10">
        <f>IF(A205="","",TEXT(A205,"yyyy-mm"))</f>
        <v/>
      </c>
      <c r="L205" s="10">
        <f>IF(A205="","",WEEKNUM(A205))</f>
        <v/>
      </c>
      <c r="M205" s="10">
        <f>IF(A205="","",IF(COUNTIFS(A:A,A205,B:B,B205,F:F,F205)&gt;1,"⚠ Possible Duplicate",""))</f>
        <v/>
      </c>
      <c r="N205" s="10" t="n"/>
    </row>
    <row r="206">
      <c r="A206" s="10" t="n"/>
      <c r="B206" s="10" t="n"/>
      <c r="C206" s="10" t="n"/>
      <c r="D206" s="10" t="n"/>
      <c r="E206" s="10" t="n"/>
      <c r="F206" s="13" t="n"/>
      <c r="G206" s="10" t="n"/>
      <c r="H206" s="10" t="n"/>
      <c r="I206" s="10" t="n"/>
      <c r="J206" s="10" t="n"/>
      <c r="K206" s="10">
        <f>IF(A206="","",TEXT(A206,"yyyy-mm"))</f>
        <v/>
      </c>
      <c r="L206" s="10">
        <f>IF(A206="","",WEEKNUM(A206))</f>
        <v/>
      </c>
      <c r="M206" s="10">
        <f>IF(A206="","",IF(COUNTIFS(A:A,A206,B:B,B206,F:F,F206)&gt;1,"⚠ Possible Duplicate",""))</f>
        <v/>
      </c>
      <c r="N206" s="10" t="n"/>
    </row>
    <row r="207">
      <c r="A207" s="10" t="n"/>
      <c r="B207" s="10" t="n"/>
      <c r="C207" s="10" t="n"/>
      <c r="D207" s="10" t="n"/>
      <c r="E207" s="10" t="n"/>
      <c r="F207" s="13" t="n"/>
      <c r="G207" s="10" t="n"/>
      <c r="H207" s="10" t="n"/>
      <c r="I207" s="10" t="n"/>
      <c r="J207" s="10" t="n"/>
      <c r="K207" s="10">
        <f>IF(A207="","",TEXT(A207,"yyyy-mm"))</f>
        <v/>
      </c>
      <c r="L207" s="10">
        <f>IF(A207="","",WEEKNUM(A207))</f>
        <v/>
      </c>
      <c r="M207" s="10">
        <f>IF(A207="","",IF(COUNTIFS(A:A,A207,B:B,B207,F:F,F207)&gt;1,"⚠ Possible Duplicate",""))</f>
        <v/>
      </c>
      <c r="N207" s="10" t="n"/>
    </row>
    <row r="208">
      <c r="A208" s="10" t="n"/>
      <c r="B208" s="10" t="n"/>
      <c r="C208" s="10" t="n"/>
      <c r="D208" s="10" t="n"/>
      <c r="E208" s="10" t="n"/>
      <c r="F208" s="13" t="n"/>
      <c r="G208" s="10" t="n"/>
      <c r="H208" s="10" t="n"/>
      <c r="I208" s="10" t="n"/>
      <c r="J208" s="10" t="n"/>
      <c r="K208" s="10">
        <f>IF(A208="","",TEXT(A208,"yyyy-mm"))</f>
        <v/>
      </c>
      <c r="L208" s="10">
        <f>IF(A208="","",WEEKNUM(A208))</f>
        <v/>
      </c>
      <c r="M208" s="10">
        <f>IF(A208="","",IF(COUNTIFS(A:A,A208,B:B,B208,F:F,F208)&gt;1,"⚠ Possible Duplicate",""))</f>
        <v/>
      </c>
      <c r="N208" s="10" t="n"/>
    </row>
    <row r="209">
      <c r="A209" s="10" t="n"/>
      <c r="B209" s="10" t="n"/>
      <c r="C209" s="10" t="n"/>
      <c r="D209" s="10" t="n"/>
      <c r="E209" s="10" t="n"/>
      <c r="F209" s="13" t="n"/>
      <c r="G209" s="10" t="n"/>
      <c r="H209" s="10" t="n"/>
      <c r="I209" s="10" t="n"/>
      <c r="J209" s="10" t="n"/>
      <c r="K209" s="10">
        <f>IF(A209="","",TEXT(A209,"yyyy-mm"))</f>
        <v/>
      </c>
      <c r="L209" s="10">
        <f>IF(A209="","",WEEKNUM(A209))</f>
        <v/>
      </c>
      <c r="M209" s="10">
        <f>IF(A209="","",IF(COUNTIFS(A:A,A209,B:B,B209,F:F,F209)&gt;1,"⚠ Possible Duplicate",""))</f>
        <v/>
      </c>
      <c r="N209" s="10" t="n"/>
    </row>
    <row r="210">
      <c r="A210" s="10" t="n"/>
      <c r="B210" s="10" t="n"/>
      <c r="C210" s="10" t="n"/>
      <c r="D210" s="10" t="n"/>
      <c r="E210" s="10" t="n"/>
      <c r="F210" s="13" t="n"/>
      <c r="G210" s="10" t="n"/>
      <c r="H210" s="10" t="n"/>
      <c r="I210" s="10" t="n"/>
      <c r="J210" s="10" t="n"/>
      <c r="K210" s="10">
        <f>IF(A210="","",TEXT(A210,"yyyy-mm"))</f>
        <v/>
      </c>
      <c r="L210" s="10">
        <f>IF(A210="","",WEEKNUM(A210))</f>
        <v/>
      </c>
      <c r="M210" s="10">
        <f>IF(A210="","",IF(COUNTIFS(A:A,A210,B:B,B210,F:F,F210)&gt;1,"⚠ Possible Duplicate",""))</f>
        <v/>
      </c>
      <c r="N210" s="10" t="n"/>
    </row>
    <row r="211">
      <c r="A211" s="10" t="n"/>
      <c r="B211" s="10" t="n"/>
      <c r="C211" s="10" t="n"/>
      <c r="D211" s="10" t="n"/>
      <c r="E211" s="10" t="n"/>
      <c r="F211" s="13" t="n"/>
      <c r="G211" s="10" t="n"/>
      <c r="H211" s="10" t="n"/>
      <c r="I211" s="10" t="n"/>
      <c r="J211" s="10" t="n"/>
      <c r="K211" s="10">
        <f>IF(A211="","",TEXT(A211,"yyyy-mm"))</f>
        <v/>
      </c>
      <c r="L211" s="10">
        <f>IF(A211="","",WEEKNUM(A211))</f>
        <v/>
      </c>
      <c r="M211" s="10">
        <f>IF(A211="","",IF(COUNTIFS(A:A,A211,B:B,B211,F:F,F211)&gt;1,"⚠ Possible Duplicate",""))</f>
        <v/>
      </c>
      <c r="N211" s="10" t="n"/>
    </row>
    <row r="212">
      <c r="A212" s="10" t="n"/>
      <c r="B212" s="10" t="n"/>
      <c r="C212" s="10" t="n"/>
      <c r="D212" s="10" t="n"/>
      <c r="E212" s="10" t="n"/>
      <c r="F212" s="13" t="n"/>
      <c r="G212" s="10" t="n"/>
      <c r="H212" s="10" t="n"/>
      <c r="I212" s="10" t="n"/>
      <c r="J212" s="10" t="n"/>
      <c r="K212" s="10">
        <f>IF(A212="","",TEXT(A212,"yyyy-mm"))</f>
        <v/>
      </c>
      <c r="L212" s="10">
        <f>IF(A212="","",WEEKNUM(A212))</f>
        <v/>
      </c>
      <c r="M212" s="10">
        <f>IF(A212="","",IF(COUNTIFS(A:A,A212,B:B,B212,F:F,F212)&gt;1,"⚠ Possible Duplicate",""))</f>
        <v/>
      </c>
      <c r="N212" s="10" t="n"/>
    </row>
    <row r="213">
      <c r="A213" s="10" t="n"/>
      <c r="B213" s="10" t="n"/>
      <c r="C213" s="10" t="n"/>
      <c r="D213" s="10" t="n"/>
      <c r="E213" s="10" t="n"/>
      <c r="F213" s="13" t="n"/>
      <c r="G213" s="10" t="n"/>
      <c r="H213" s="10" t="n"/>
      <c r="I213" s="10" t="n"/>
      <c r="J213" s="10" t="n"/>
      <c r="K213" s="10">
        <f>IF(A213="","",TEXT(A213,"yyyy-mm"))</f>
        <v/>
      </c>
      <c r="L213" s="10">
        <f>IF(A213="","",WEEKNUM(A213))</f>
        <v/>
      </c>
      <c r="M213" s="10">
        <f>IF(A213="","",IF(COUNTIFS(A:A,A213,B:B,B213,F:F,F213)&gt;1,"⚠ Possible Duplicate",""))</f>
        <v/>
      </c>
      <c r="N213" s="10" t="n"/>
    </row>
    <row r="214">
      <c r="A214" s="10" t="n"/>
      <c r="B214" s="10" t="n"/>
      <c r="C214" s="10" t="n"/>
      <c r="D214" s="10" t="n"/>
      <c r="E214" s="10" t="n"/>
      <c r="F214" s="13" t="n"/>
      <c r="G214" s="10" t="n"/>
      <c r="H214" s="10" t="n"/>
      <c r="I214" s="10" t="n"/>
      <c r="J214" s="10" t="n"/>
      <c r="K214" s="10">
        <f>IF(A214="","",TEXT(A214,"yyyy-mm"))</f>
        <v/>
      </c>
      <c r="L214" s="10">
        <f>IF(A214="","",WEEKNUM(A214))</f>
        <v/>
      </c>
      <c r="M214" s="10">
        <f>IF(A214="","",IF(COUNTIFS(A:A,A214,B:B,B214,F:F,F214)&gt;1,"⚠ Possible Duplicate",""))</f>
        <v/>
      </c>
      <c r="N214" s="10" t="n"/>
    </row>
    <row r="215">
      <c r="A215" s="10" t="n"/>
      <c r="B215" s="10" t="n"/>
      <c r="C215" s="10" t="n"/>
      <c r="D215" s="10" t="n"/>
      <c r="E215" s="10" t="n"/>
      <c r="F215" s="13" t="n"/>
      <c r="G215" s="10" t="n"/>
      <c r="H215" s="10" t="n"/>
      <c r="I215" s="10" t="n"/>
      <c r="J215" s="10" t="n"/>
      <c r="K215" s="10">
        <f>IF(A215="","",TEXT(A215,"yyyy-mm"))</f>
        <v/>
      </c>
      <c r="L215" s="10">
        <f>IF(A215="","",WEEKNUM(A215))</f>
        <v/>
      </c>
      <c r="M215" s="10">
        <f>IF(A215="","",IF(COUNTIFS(A:A,A215,B:B,B215,F:F,F215)&gt;1,"⚠ Possible Duplicate",""))</f>
        <v/>
      </c>
      <c r="N215" s="10" t="n"/>
    </row>
    <row r="216">
      <c r="A216" s="10" t="n"/>
      <c r="B216" s="10" t="n"/>
      <c r="C216" s="10" t="n"/>
      <c r="D216" s="10" t="n"/>
      <c r="E216" s="10" t="n"/>
      <c r="F216" s="13" t="n"/>
      <c r="G216" s="10" t="n"/>
      <c r="H216" s="10" t="n"/>
      <c r="I216" s="10" t="n"/>
      <c r="J216" s="10" t="n"/>
      <c r="K216" s="10">
        <f>IF(A216="","",TEXT(A216,"yyyy-mm"))</f>
        <v/>
      </c>
      <c r="L216" s="10">
        <f>IF(A216="","",WEEKNUM(A216))</f>
        <v/>
      </c>
      <c r="M216" s="10">
        <f>IF(A216="","",IF(COUNTIFS(A:A,A216,B:B,B216,F:F,F216)&gt;1,"⚠ Possible Duplicate",""))</f>
        <v/>
      </c>
      <c r="N216" s="10" t="n"/>
    </row>
    <row r="217">
      <c r="A217" s="10" t="n"/>
      <c r="B217" s="10" t="n"/>
      <c r="C217" s="10" t="n"/>
      <c r="D217" s="10" t="n"/>
      <c r="E217" s="10" t="n"/>
      <c r="F217" s="13" t="n"/>
      <c r="G217" s="10" t="n"/>
      <c r="H217" s="10" t="n"/>
      <c r="I217" s="10" t="n"/>
      <c r="J217" s="10" t="n"/>
      <c r="K217" s="10">
        <f>IF(A217="","",TEXT(A217,"yyyy-mm"))</f>
        <v/>
      </c>
      <c r="L217" s="10">
        <f>IF(A217="","",WEEKNUM(A217))</f>
        <v/>
      </c>
      <c r="M217" s="10">
        <f>IF(A217="","",IF(COUNTIFS(A:A,A217,B:B,B217,F:F,F217)&gt;1,"⚠ Possible Duplicate",""))</f>
        <v/>
      </c>
      <c r="N217" s="10" t="n"/>
    </row>
    <row r="218">
      <c r="A218" s="10" t="n"/>
      <c r="B218" s="10" t="n"/>
      <c r="C218" s="10" t="n"/>
      <c r="D218" s="10" t="n"/>
      <c r="E218" s="10" t="n"/>
      <c r="F218" s="13" t="n"/>
      <c r="G218" s="10" t="n"/>
      <c r="H218" s="10" t="n"/>
      <c r="I218" s="10" t="n"/>
      <c r="J218" s="10" t="n"/>
      <c r="K218" s="10">
        <f>IF(A218="","",TEXT(A218,"yyyy-mm"))</f>
        <v/>
      </c>
      <c r="L218" s="10">
        <f>IF(A218="","",WEEKNUM(A218))</f>
        <v/>
      </c>
      <c r="M218" s="10">
        <f>IF(A218="","",IF(COUNTIFS(A:A,A218,B:B,B218,F:F,F218)&gt;1,"⚠ Possible Duplicate",""))</f>
        <v/>
      </c>
      <c r="N218" s="10" t="n"/>
    </row>
    <row r="219">
      <c r="A219" s="10" t="n"/>
      <c r="B219" s="10" t="n"/>
      <c r="C219" s="10" t="n"/>
      <c r="D219" s="10" t="n"/>
      <c r="E219" s="10" t="n"/>
      <c r="F219" s="13" t="n"/>
      <c r="G219" s="10" t="n"/>
      <c r="H219" s="10" t="n"/>
      <c r="I219" s="10" t="n"/>
      <c r="J219" s="10" t="n"/>
      <c r="K219" s="10">
        <f>IF(A219="","",TEXT(A219,"yyyy-mm"))</f>
        <v/>
      </c>
      <c r="L219" s="10">
        <f>IF(A219="","",WEEKNUM(A219))</f>
        <v/>
      </c>
      <c r="M219" s="10">
        <f>IF(A219="","",IF(COUNTIFS(A:A,A219,B:B,B219,F:F,F219)&gt;1,"⚠ Possible Duplicate",""))</f>
        <v/>
      </c>
      <c r="N219" s="10" t="n"/>
    </row>
    <row r="220">
      <c r="A220" s="10" t="n"/>
      <c r="B220" s="10" t="n"/>
      <c r="C220" s="10" t="n"/>
      <c r="D220" s="10" t="n"/>
      <c r="E220" s="10" t="n"/>
      <c r="F220" s="13" t="n"/>
      <c r="G220" s="10" t="n"/>
      <c r="H220" s="10" t="n"/>
      <c r="I220" s="10" t="n"/>
      <c r="J220" s="10" t="n"/>
      <c r="K220" s="10">
        <f>IF(A220="","",TEXT(A220,"yyyy-mm"))</f>
        <v/>
      </c>
      <c r="L220" s="10">
        <f>IF(A220="","",WEEKNUM(A220))</f>
        <v/>
      </c>
      <c r="M220" s="10">
        <f>IF(A220="","",IF(COUNTIFS(A:A,A220,B:B,B220,F:F,F220)&gt;1,"⚠ Possible Duplicate",""))</f>
        <v/>
      </c>
      <c r="N220" s="10" t="n"/>
    </row>
    <row r="221">
      <c r="A221" s="10" t="n"/>
      <c r="B221" s="10" t="n"/>
      <c r="C221" s="10" t="n"/>
      <c r="D221" s="10" t="n"/>
      <c r="E221" s="10" t="n"/>
      <c r="F221" s="13" t="n"/>
      <c r="G221" s="10" t="n"/>
      <c r="H221" s="10" t="n"/>
      <c r="I221" s="10" t="n"/>
      <c r="J221" s="10" t="n"/>
      <c r="K221" s="10">
        <f>IF(A221="","",TEXT(A221,"yyyy-mm"))</f>
        <v/>
      </c>
      <c r="L221" s="10">
        <f>IF(A221="","",WEEKNUM(A221))</f>
        <v/>
      </c>
      <c r="M221" s="10">
        <f>IF(A221="","",IF(COUNTIFS(A:A,A221,B:B,B221,F:F,F221)&gt;1,"⚠ Possible Duplicate",""))</f>
        <v/>
      </c>
      <c r="N221" s="10" t="n"/>
    </row>
    <row r="222">
      <c r="A222" s="10" t="n"/>
      <c r="B222" s="10" t="n"/>
      <c r="C222" s="10" t="n"/>
      <c r="D222" s="10" t="n"/>
      <c r="E222" s="10" t="n"/>
      <c r="F222" s="13" t="n"/>
      <c r="G222" s="10" t="n"/>
      <c r="H222" s="10" t="n"/>
      <c r="I222" s="10" t="n"/>
      <c r="J222" s="10" t="n"/>
      <c r="K222" s="10">
        <f>IF(A222="","",TEXT(A222,"yyyy-mm"))</f>
        <v/>
      </c>
      <c r="L222" s="10">
        <f>IF(A222="","",WEEKNUM(A222))</f>
        <v/>
      </c>
      <c r="M222" s="10">
        <f>IF(A222="","",IF(COUNTIFS(A:A,A222,B:B,B222,F:F,F222)&gt;1,"⚠ Possible Duplicate",""))</f>
        <v/>
      </c>
      <c r="N222" s="10" t="n"/>
    </row>
    <row r="223">
      <c r="A223" s="10" t="n"/>
      <c r="B223" s="10" t="n"/>
      <c r="C223" s="10" t="n"/>
      <c r="D223" s="10" t="n"/>
      <c r="E223" s="10" t="n"/>
      <c r="F223" s="13" t="n"/>
      <c r="G223" s="10" t="n"/>
      <c r="H223" s="10" t="n"/>
      <c r="I223" s="10" t="n"/>
      <c r="J223" s="10" t="n"/>
      <c r="K223" s="10">
        <f>IF(A223="","",TEXT(A223,"yyyy-mm"))</f>
        <v/>
      </c>
      <c r="L223" s="10">
        <f>IF(A223="","",WEEKNUM(A223))</f>
        <v/>
      </c>
      <c r="M223" s="10">
        <f>IF(A223="","",IF(COUNTIFS(A:A,A223,B:B,B223,F:F,F223)&gt;1,"⚠ Possible Duplicate",""))</f>
        <v/>
      </c>
      <c r="N223" s="10" t="n"/>
    </row>
    <row r="224">
      <c r="A224" s="10" t="n"/>
      <c r="B224" s="10" t="n"/>
      <c r="C224" s="10" t="n"/>
      <c r="D224" s="10" t="n"/>
      <c r="E224" s="10" t="n"/>
      <c r="F224" s="13" t="n"/>
      <c r="G224" s="10" t="n"/>
      <c r="H224" s="10" t="n"/>
      <c r="I224" s="10" t="n"/>
      <c r="J224" s="10" t="n"/>
      <c r="K224" s="10">
        <f>IF(A224="","",TEXT(A224,"yyyy-mm"))</f>
        <v/>
      </c>
      <c r="L224" s="10">
        <f>IF(A224="","",WEEKNUM(A224))</f>
        <v/>
      </c>
      <c r="M224" s="10">
        <f>IF(A224="","",IF(COUNTIFS(A:A,A224,B:B,B224,F:F,F224)&gt;1,"⚠ Possible Duplicate",""))</f>
        <v/>
      </c>
      <c r="N224" s="10" t="n"/>
    </row>
    <row r="225">
      <c r="A225" s="10" t="n"/>
      <c r="B225" s="10" t="n"/>
      <c r="C225" s="10" t="n"/>
      <c r="D225" s="10" t="n"/>
      <c r="E225" s="10" t="n"/>
      <c r="F225" s="13" t="n"/>
      <c r="G225" s="10" t="n"/>
      <c r="H225" s="10" t="n"/>
      <c r="I225" s="10" t="n"/>
      <c r="J225" s="10" t="n"/>
      <c r="K225" s="10">
        <f>IF(A225="","",TEXT(A225,"yyyy-mm"))</f>
        <v/>
      </c>
      <c r="L225" s="10">
        <f>IF(A225="","",WEEKNUM(A225))</f>
        <v/>
      </c>
      <c r="M225" s="10">
        <f>IF(A225="","",IF(COUNTIFS(A:A,A225,B:B,B225,F:F,F225)&gt;1,"⚠ Possible Duplicate",""))</f>
        <v/>
      </c>
      <c r="N225" s="10" t="n"/>
    </row>
    <row r="226">
      <c r="A226" s="10" t="n"/>
      <c r="B226" s="10" t="n"/>
      <c r="C226" s="10" t="n"/>
      <c r="D226" s="10" t="n"/>
      <c r="E226" s="10" t="n"/>
      <c r="F226" s="13" t="n"/>
      <c r="G226" s="10" t="n"/>
      <c r="H226" s="10" t="n"/>
      <c r="I226" s="10" t="n"/>
      <c r="J226" s="10" t="n"/>
      <c r="K226" s="10">
        <f>IF(A226="","",TEXT(A226,"yyyy-mm"))</f>
        <v/>
      </c>
      <c r="L226" s="10">
        <f>IF(A226="","",WEEKNUM(A226))</f>
        <v/>
      </c>
      <c r="M226" s="10">
        <f>IF(A226="","",IF(COUNTIFS(A:A,A226,B:B,B226,F:F,F226)&gt;1,"⚠ Possible Duplicate",""))</f>
        <v/>
      </c>
      <c r="N226" s="10" t="n"/>
    </row>
    <row r="227">
      <c r="A227" s="10" t="n"/>
      <c r="B227" s="10" t="n"/>
      <c r="C227" s="10" t="n"/>
      <c r="D227" s="10" t="n"/>
      <c r="E227" s="10" t="n"/>
      <c r="F227" s="13" t="n"/>
      <c r="G227" s="10" t="n"/>
      <c r="H227" s="10" t="n"/>
      <c r="I227" s="10" t="n"/>
      <c r="J227" s="10" t="n"/>
      <c r="K227" s="10">
        <f>IF(A227="","",TEXT(A227,"yyyy-mm"))</f>
        <v/>
      </c>
      <c r="L227" s="10">
        <f>IF(A227="","",WEEKNUM(A227))</f>
        <v/>
      </c>
      <c r="M227" s="10">
        <f>IF(A227="","",IF(COUNTIFS(A:A,A227,B:B,B227,F:F,F227)&gt;1,"⚠ Possible Duplicate",""))</f>
        <v/>
      </c>
      <c r="N227" s="10" t="n"/>
    </row>
    <row r="228">
      <c r="A228" s="10" t="n"/>
      <c r="B228" s="10" t="n"/>
      <c r="C228" s="10" t="n"/>
      <c r="D228" s="10" t="n"/>
      <c r="E228" s="10" t="n"/>
      <c r="F228" s="13" t="n"/>
      <c r="G228" s="10" t="n"/>
      <c r="H228" s="10" t="n"/>
      <c r="I228" s="10" t="n"/>
      <c r="J228" s="10" t="n"/>
      <c r="K228" s="10">
        <f>IF(A228="","",TEXT(A228,"yyyy-mm"))</f>
        <v/>
      </c>
      <c r="L228" s="10">
        <f>IF(A228="","",WEEKNUM(A228))</f>
        <v/>
      </c>
      <c r="M228" s="10">
        <f>IF(A228="","",IF(COUNTIFS(A:A,A228,B:B,B228,F:F,F228)&gt;1,"⚠ Possible Duplicate",""))</f>
        <v/>
      </c>
      <c r="N228" s="10" t="n"/>
    </row>
    <row r="229">
      <c r="A229" s="10" t="n"/>
      <c r="B229" s="10" t="n"/>
      <c r="C229" s="10" t="n"/>
      <c r="D229" s="10" t="n"/>
      <c r="E229" s="10" t="n"/>
      <c r="F229" s="13" t="n"/>
      <c r="G229" s="10" t="n"/>
      <c r="H229" s="10" t="n"/>
      <c r="I229" s="10" t="n"/>
      <c r="J229" s="10" t="n"/>
      <c r="K229" s="10">
        <f>IF(A229="","",TEXT(A229,"yyyy-mm"))</f>
        <v/>
      </c>
      <c r="L229" s="10">
        <f>IF(A229="","",WEEKNUM(A229))</f>
        <v/>
      </c>
      <c r="M229" s="10">
        <f>IF(A229="","",IF(COUNTIFS(A:A,A229,B:B,B229,F:F,F229)&gt;1,"⚠ Possible Duplicate",""))</f>
        <v/>
      </c>
      <c r="N229" s="10" t="n"/>
    </row>
    <row r="230">
      <c r="A230" s="10" t="n"/>
      <c r="B230" s="10" t="n"/>
      <c r="C230" s="10" t="n"/>
      <c r="D230" s="10" t="n"/>
      <c r="E230" s="10" t="n"/>
      <c r="F230" s="13" t="n"/>
      <c r="G230" s="10" t="n"/>
      <c r="H230" s="10" t="n"/>
      <c r="I230" s="10" t="n"/>
      <c r="J230" s="10" t="n"/>
      <c r="K230" s="10">
        <f>IF(A230="","",TEXT(A230,"yyyy-mm"))</f>
        <v/>
      </c>
      <c r="L230" s="10">
        <f>IF(A230="","",WEEKNUM(A230))</f>
        <v/>
      </c>
      <c r="M230" s="10">
        <f>IF(A230="","",IF(COUNTIFS(A:A,A230,B:B,B230,F:F,F230)&gt;1,"⚠ Possible Duplicate",""))</f>
        <v/>
      </c>
      <c r="N230" s="10" t="n"/>
    </row>
    <row r="231">
      <c r="A231" s="10" t="n"/>
      <c r="B231" s="10" t="n"/>
      <c r="C231" s="10" t="n"/>
      <c r="D231" s="10" t="n"/>
      <c r="E231" s="10" t="n"/>
      <c r="F231" s="13" t="n"/>
      <c r="G231" s="10" t="n"/>
      <c r="H231" s="10" t="n"/>
      <c r="I231" s="10" t="n"/>
      <c r="J231" s="10" t="n"/>
      <c r="K231" s="10">
        <f>IF(A231="","",TEXT(A231,"yyyy-mm"))</f>
        <v/>
      </c>
      <c r="L231" s="10">
        <f>IF(A231="","",WEEKNUM(A231))</f>
        <v/>
      </c>
      <c r="M231" s="10">
        <f>IF(A231="","",IF(COUNTIFS(A:A,A231,B:B,B231,F:F,F231)&gt;1,"⚠ Possible Duplicate",""))</f>
        <v/>
      </c>
      <c r="N231" s="10" t="n"/>
    </row>
    <row r="232">
      <c r="A232" s="10" t="n"/>
      <c r="B232" s="10" t="n"/>
      <c r="C232" s="10" t="n"/>
      <c r="D232" s="10" t="n"/>
      <c r="E232" s="10" t="n"/>
      <c r="F232" s="13" t="n"/>
      <c r="G232" s="10" t="n"/>
      <c r="H232" s="10" t="n"/>
      <c r="I232" s="10" t="n"/>
      <c r="J232" s="10" t="n"/>
      <c r="K232" s="10">
        <f>IF(A232="","",TEXT(A232,"yyyy-mm"))</f>
        <v/>
      </c>
      <c r="L232" s="10">
        <f>IF(A232="","",WEEKNUM(A232))</f>
        <v/>
      </c>
      <c r="M232" s="10">
        <f>IF(A232="","",IF(COUNTIFS(A:A,A232,B:B,B232,F:F,F232)&gt;1,"⚠ Possible Duplicate",""))</f>
        <v/>
      </c>
      <c r="N232" s="10" t="n"/>
    </row>
    <row r="233">
      <c r="A233" s="10" t="n"/>
      <c r="B233" s="10" t="n"/>
      <c r="C233" s="10" t="n"/>
      <c r="D233" s="10" t="n"/>
      <c r="E233" s="10" t="n"/>
      <c r="F233" s="13" t="n"/>
      <c r="G233" s="10" t="n"/>
      <c r="H233" s="10" t="n"/>
      <c r="I233" s="10" t="n"/>
      <c r="J233" s="10" t="n"/>
      <c r="K233" s="10">
        <f>IF(A233="","",TEXT(A233,"yyyy-mm"))</f>
        <v/>
      </c>
      <c r="L233" s="10">
        <f>IF(A233="","",WEEKNUM(A233))</f>
        <v/>
      </c>
      <c r="M233" s="10">
        <f>IF(A233="","",IF(COUNTIFS(A:A,A233,B:B,B233,F:F,F233)&gt;1,"⚠ Possible Duplicate",""))</f>
        <v/>
      </c>
      <c r="N233" s="10" t="n"/>
    </row>
    <row r="234">
      <c r="A234" s="10" t="n"/>
      <c r="B234" s="10" t="n"/>
      <c r="C234" s="10" t="n"/>
      <c r="D234" s="10" t="n"/>
      <c r="E234" s="10" t="n"/>
      <c r="F234" s="13" t="n"/>
      <c r="G234" s="10" t="n"/>
      <c r="H234" s="10" t="n"/>
      <c r="I234" s="10" t="n"/>
      <c r="J234" s="10" t="n"/>
      <c r="K234" s="10">
        <f>IF(A234="","",TEXT(A234,"yyyy-mm"))</f>
        <v/>
      </c>
      <c r="L234" s="10">
        <f>IF(A234="","",WEEKNUM(A234))</f>
        <v/>
      </c>
      <c r="M234" s="10">
        <f>IF(A234="","",IF(COUNTIFS(A:A,A234,B:B,B234,F:F,F234)&gt;1,"⚠ Possible Duplicate",""))</f>
        <v/>
      </c>
      <c r="N234" s="10" t="n"/>
    </row>
    <row r="235">
      <c r="A235" s="10" t="n"/>
      <c r="B235" s="10" t="n"/>
      <c r="C235" s="10" t="n"/>
      <c r="D235" s="10" t="n"/>
      <c r="E235" s="10" t="n"/>
      <c r="F235" s="13" t="n"/>
      <c r="G235" s="10" t="n"/>
      <c r="H235" s="10" t="n"/>
      <c r="I235" s="10" t="n"/>
      <c r="J235" s="10" t="n"/>
      <c r="K235" s="10">
        <f>IF(A235="","",TEXT(A235,"yyyy-mm"))</f>
        <v/>
      </c>
      <c r="L235" s="10">
        <f>IF(A235="","",WEEKNUM(A235))</f>
        <v/>
      </c>
      <c r="M235" s="10">
        <f>IF(A235="","",IF(COUNTIFS(A:A,A235,B:B,B235,F:F,F235)&gt;1,"⚠ Possible Duplicate",""))</f>
        <v/>
      </c>
      <c r="N235" s="10" t="n"/>
    </row>
    <row r="236">
      <c r="A236" s="10" t="n"/>
      <c r="B236" s="10" t="n"/>
      <c r="C236" s="10" t="n"/>
      <c r="D236" s="10" t="n"/>
      <c r="E236" s="10" t="n"/>
      <c r="F236" s="13" t="n"/>
      <c r="G236" s="10" t="n"/>
      <c r="H236" s="10" t="n"/>
      <c r="I236" s="10" t="n"/>
      <c r="J236" s="10" t="n"/>
      <c r="K236" s="10">
        <f>IF(A236="","",TEXT(A236,"yyyy-mm"))</f>
        <v/>
      </c>
      <c r="L236" s="10">
        <f>IF(A236="","",WEEKNUM(A236))</f>
        <v/>
      </c>
      <c r="M236" s="10">
        <f>IF(A236="","",IF(COUNTIFS(A:A,A236,B:B,B236,F:F,F236)&gt;1,"⚠ Possible Duplicate",""))</f>
        <v/>
      </c>
      <c r="N236" s="10" t="n"/>
    </row>
    <row r="237">
      <c r="A237" s="10" t="n"/>
      <c r="B237" s="10" t="n"/>
      <c r="C237" s="10" t="n"/>
      <c r="D237" s="10" t="n"/>
      <c r="E237" s="10" t="n"/>
      <c r="F237" s="13" t="n"/>
      <c r="G237" s="10" t="n"/>
      <c r="H237" s="10" t="n"/>
      <c r="I237" s="10" t="n"/>
      <c r="J237" s="10" t="n"/>
      <c r="K237" s="10">
        <f>IF(A237="","",TEXT(A237,"yyyy-mm"))</f>
        <v/>
      </c>
      <c r="L237" s="10">
        <f>IF(A237="","",WEEKNUM(A237))</f>
        <v/>
      </c>
      <c r="M237" s="10">
        <f>IF(A237="","",IF(COUNTIFS(A:A,A237,B:B,B237,F:F,F237)&gt;1,"⚠ Possible Duplicate",""))</f>
        <v/>
      </c>
      <c r="N237" s="10" t="n"/>
    </row>
    <row r="238">
      <c r="A238" s="10" t="n"/>
      <c r="B238" s="10" t="n"/>
      <c r="C238" s="10" t="n"/>
      <c r="D238" s="10" t="n"/>
      <c r="E238" s="10" t="n"/>
      <c r="F238" s="13" t="n"/>
      <c r="G238" s="10" t="n"/>
      <c r="H238" s="10" t="n"/>
      <c r="I238" s="10" t="n"/>
      <c r="J238" s="10" t="n"/>
      <c r="K238" s="10">
        <f>IF(A238="","",TEXT(A238,"yyyy-mm"))</f>
        <v/>
      </c>
      <c r="L238" s="10">
        <f>IF(A238="","",WEEKNUM(A238))</f>
        <v/>
      </c>
      <c r="M238" s="10">
        <f>IF(A238="","",IF(COUNTIFS(A:A,A238,B:B,B238,F:F,F238)&gt;1,"⚠ Possible Duplicate",""))</f>
        <v/>
      </c>
      <c r="N238" s="10" t="n"/>
    </row>
    <row r="239">
      <c r="A239" s="10" t="n"/>
      <c r="B239" s="10" t="n"/>
      <c r="C239" s="10" t="n"/>
      <c r="D239" s="10" t="n"/>
      <c r="E239" s="10" t="n"/>
      <c r="F239" s="13" t="n"/>
      <c r="G239" s="10" t="n"/>
      <c r="H239" s="10" t="n"/>
      <c r="I239" s="10" t="n"/>
      <c r="J239" s="10" t="n"/>
      <c r="K239" s="10">
        <f>IF(A239="","",TEXT(A239,"yyyy-mm"))</f>
        <v/>
      </c>
      <c r="L239" s="10">
        <f>IF(A239="","",WEEKNUM(A239))</f>
        <v/>
      </c>
      <c r="M239" s="10">
        <f>IF(A239="","",IF(COUNTIFS(A:A,A239,B:B,B239,F:F,F239)&gt;1,"⚠ Possible Duplicate",""))</f>
        <v/>
      </c>
      <c r="N239" s="10" t="n"/>
    </row>
    <row r="240">
      <c r="A240" s="10" t="n"/>
      <c r="B240" s="10" t="n"/>
      <c r="C240" s="10" t="n"/>
      <c r="D240" s="10" t="n"/>
      <c r="E240" s="10" t="n"/>
      <c r="F240" s="13" t="n"/>
      <c r="G240" s="10" t="n"/>
      <c r="H240" s="10" t="n"/>
      <c r="I240" s="10" t="n"/>
      <c r="J240" s="10" t="n"/>
      <c r="K240" s="10">
        <f>IF(A240="","",TEXT(A240,"yyyy-mm"))</f>
        <v/>
      </c>
      <c r="L240" s="10">
        <f>IF(A240="","",WEEKNUM(A240))</f>
        <v/>
      </c>
      <c r="M240" s="10">
        <f>IF(A240="","",IF(COUNTIFS(A:A,A240,B:B,B240,F:F,F240)&gt;1,"⚠ Possible Duplicate",""))</f>
        <v/>
      </c>
      <c r="N240" s="10" t="n"/>
    </row>
    <row r="241">
      <c r="A241" s="10" t="n"/>
      <c r="B241" s="10" t="n"/>
      <c r="C241" s="10" t="n"/>
      <c r="D241" s="10" t="n"/>
      <c r="E241" s="10" t="n"/>
      <c r="F241" s="13" t="n"/>
      <c r="G241" s="10" t="n"/>
      <c r="H241" s="10" t="n"/>
      <c r="I241" s="10" t="n"/>
      <c r="J241" s="10" t="n"/>
      <c r="K241" s="10">
        <f>IF(A241="","",TEXT(A241,"yyyy-mm"))</f>
        <v/>
      </c>
      <c r="L241" s="10">
        <f>IF(A241="","",WEEKNUM(A241))</f>
        <v/>
      </c>
      <c r="M241" s="10">
        <f>IF(A241="","",IF(COUNTIFS(A:A,A241,B:B,B241,F:F,F241)&gt;1,"⚠ Possible Duplicate",""))</f>
        <v/>
      </c>
      <c r="N241" s="10" t="n"/>
    </row>
    <row r="242">
      <c r="A242" s="10" t="n"/>
      <c r="B242" s="10" t="n"/>
      <c r="C242" s="10" t="n"/>
      <c r="D242" s="10" t="n"/>
      <c r="E242" s="10" t="n"/>
      <c r="F242" s="13" t="n"/>
      <c r="G242" s="10" t="n"/>
      <c r="H242" s="10" t="n"/>
      <c r="I242" s="10" t="n"/>
      <c r="J242" s="10" t="n"/>
      <c r="K242" s="10">
        <f>IF(A242="","",TEXT(A242,"yyyy-mm"))</f>
        <v/>
      </c>
      <c r="L242" s="10">
        <f>IF(A242="","",WEEKNUM(A242))</f>
        <v/>
      </c>
      <c r="M242" s="10">
        <f>IF(A242="","",IF(COUNTIFS(A:A,A242,B:B,B242,F:F,F242)&gt;1,"⚠ Possible Duplicate",""))</f>
        <v/>
      </c>
      <c r="N242" s="10" t="n"/>
    </row>
    <row r="243">
      <c r="A243" s="10" t="n"/>
      <c r="B243" s="10" t="n"/>
      <c r="C243" s="10" t="n"/>
      <c r="D243" s="10" t="n"/>
      <c r="E243" s="10" t="n"/>
      <c r="F243" s="13" t="n"/>
      <c r="G243" s="10" t="n"/>
      <c r="H243" s="10" t="n"/>
      <c r="I243" s="10" t="n"/>
      <c r="J243" s="10" t="n"/>
      <c r="K243" s="10">
        <f>IF(A243="","",TEXT(A243,"yyyy-mm"))</f>
        <v/>
      </c>
      <c r="L243" s="10">
        <f>IF(A243="","",WEEKNUM(A243))</f>
        <v/>
      </c>
      <c r="M243" s="10">
        <f>IF(A243="","",IF(COUNTIFS(A:A,A243,B:B,B243,F:F,F243)&gt;1,"⚠ Possible Duplicate",""))</f>
        <v/>
      </c>
      <c r="N243" s="10" t="n"/>
    </row>
    <row r="244">
      <c r="A244" s="10" t="n"/>
      <c r="B244" s="10" t="n"/>
      <c r="C244" s="10" t="n"/>
      <c r="D244" s="10" t="n"/>
      <c r="E244" s="10" t="n"/>
      <c r="F244" s="13" t="n"/>
      <c r="G244" s="10" t="n"/>
      <c r="H244" s="10" t="n"/>
      <c r="I244" s="10" t="n"/>
      <c r="J244" s="10" t="n"/>
      <c r="K244" s="10">
        <f>IF(A244="","",TEXT(A244,"yyyy-mm"))</f>
        <v/>
      </c>
      <c r="L244" s="10">
        <f>IF(A244="","",WEEKNUM(A244))</f>
        <v/>
      </c>
      <c r="M244" s="10">
        <f>IF(A244="","",IF(COUNTIFS(A:A,A244,B:B,B244,F:F,F244)&gt;1,"⚠ Possible Duplicate",""))</f>
        <v/>
      </c>
      <c r="N244" s="10" t="n"/>
    </row>
    <row r="245">
      <c r="A245" s="10" t="n"/>
      <c r="B245" s="10" t="n"/>
      <c r="C245" s="10" t="n"/>
      <c r="D245" s="10" t="n"/>
      <c r="E245" s="10" t="n"/>
      <c r="F245" s="13" t="n"/>
      <c r="G245" s="10" t="n"/>
      <c r="H245" s="10" t="n"/>
      <c r="I245" s="10" t="n"/>
      <c r="J245" s="10" t="n"/>
      <c r="K245" s="10">
        <f>IF(A245="","",TEXT(A245,"yyyy-mm"))</f>
        <v/>
      </c>
      <c r="L245" s="10">
        <f>IF(A245="","",WEEKNUM(A245))</f>
        <v/>
      </c>
      <c r="M245" s="10">
        <f>IF(A245="","",IF(COUNTIFS(A:A,A245,B:B,B245,F:F,F245)&gt;1,"⚠ Possible Duplicate",""))</f>
        <v/>
      </c>
      <c r="N245" s="10" t="n"/>
    </row>
    <row r="246">
      <c r="A246" s="10" t="n"/>
      <c r="B246" s="10" t="n"/>
      <c r="C246" s="10" t="n"/>
      <c r="D246" s="10" t="n"/>
      <c r="E246" s="10" t="n"/>
      <c r="F246" s="13" t="n"/>
      <c r="G246" s="10" t="n"/>
      <c r="H246" s="10" t="n"/>
      <c r="I246" s="10" t="n"/>
      <c r="J246" s="10" t="n"/>
      <c r="K246" s="10">
        <f>IF(A246="","",TEXT(A246,"yyyy-mm"))</f>
        <v/>
      </c>
      <c r="L246" s="10">
        <f>IF(A246="","",WEEKNUM(A246))</f>
        <v/>
      </c>
      <c r="M246" s="10">
        <f>IF(A246="","",IF(COUNTIFS(A:A,A246,B:B,B246,F:F,F246)&gt;1,"⚠ Possible Duplicate",""))</f>
        <v/>
      </c>
      <c r="N246" s="10" t="n"/>
    </row>
    <row r="247">
      <c r="A247" s="10" t="n"/>
      <c r="B247" s="10" t="n"/>
      <c r="C247" s="10" t="n"/>
      <c r="D247" s="10" t="n"/>
      <c r="E247" s="10" t="n"/>
      <c r="F247" s="13" t="n"/>
      <c r="G247" s="10" t="n"/>
      <c r="H247" s="10" t="n"/>
      <c r="I247" s="10" t="n"/>
      <c r="J247" s="10" t="n"/>
      <c r="K247" s="10">
        <f>IF(A247="","",TEXT(A247,"yyyy-mm"))</f>
        <v/>
      </c>
      <c r="L247" s="10">
        <f>IF(A247="","",WEEKNUM(A247))</f>
        <v/>
      </c>
      <c r="M247" s="10">
        <f>IF(A247="","",IF(COUNTIFS(A:A,A247,B:B,B247,F:F,F247)&gt;1,"⚠ Possible Duplicate",""))</f>
        <v/>
      </c>
      <c r="N247" s="10" t="n"/>
    </row>
    <row r="248">
      <c r="A248" s="10" t="n"/>
      <c r="B248" s="10" t="n"/>
      <c r="C248" s="10" t="n"/>
      <c r="D248" s="10" t="n"/>
      <c r="E248" s="10" t="n"/>
      <c r="F248" s="13" t="n"/>
      <c r="G248" s="10" t="n"/>
      <c r="H248" s="10" t="n"/>
      <c r="I248" s="10" t="n"/>
      <c r="J248" s="10" t="n"/>
      <c r="K248" s="10">
        <f>IF(A248="","",TEXT(A248,"yyyy-mm"))</f>
        <v/>
      </c>
      <c r="L248" s="10">
        <f>IF(A248="","",WEEKNUM(A248))</f>
        <v/>
      </c>
      <c r="M248" s="10">
        <f>IF(A248="","",IF(COUNTIFS(A:A,A248,B:B,B248,F:F,F248)&gt;1,"⚠ Possible Duplicate",""))</f>
        <v/>
      </c>
      <c r="N248" s="10" t="n"/>
    </row>
    <row r="249">
      <c r="A249" s="10" t="n"/>
      <c r="B249" s="10" t="n"/>
      <c r="C249" s="10" t="n"/>
      <c r="D249" s="10" t="n"/>
      <c r="E249" s="10" t="n"/>
      <c r="F249" s="13" t="n"/>
      <c r="G249" s="10" t="n"/>
      <c r="H249" s="10" t="n"/>
      <c r="I249" s="10" t="n"/>
      <c r="J249" s="10" t="n"/>
      <c r="K249" s="10">
        <f>IF(A249="","",TEXT(A249,"yyyy-mm"))</f>
        <v/>
      </c>
      <c r="L249" s="10">
        <f>IF(A249="","",WEEKNUM(A249))</f>
        <v/>
      </c>
      <c r="M249" s="10">
        <f>IF(A249="","",IF(COUNTIFS(A:A,A249,B:B,B249,F:F,F249)&gt;1,"⚠ Possible Duplicate",""))</f>
        <v/>
      </c>
      <c r="N249" s="10" t="n"/>
    </row>
    <row r="250">
      <c r="A250" s="10" t="n"/>
      <c r="B250" s="10" t="n"/>
      <c r="C250" s="10" t="n"/>
      <c r="D250" s="10" t="n"/>
      <c r="E250" s="10" t="n"/>
      <c r="F250" s="13" t="n"/>
      <c r="G250" s="10" t="n"/>
      <c r="H250" s="10" t="n"/>
      <c r="I250" s="10" t="n"/>
      <c r="J250" s="10" t="n"/>
      <c r="K250" s="10">
        <f>IF(A250="","",TEXT(A250,"yyyy-mm"))</f>
        <v/>
      </c>
      <c r="L250" s="10">
        <f>IF(A250="","",WEEKNUM(A250))</f>
        <v/>
      </c>
      <c r="M250" s="10">
        <f>IF(A250="","",IF(COUNTIFS(A:A,A250,B:B,B250,F:F,F250)&gt;1,"⚠ Possible Duplicate",""))</f>
        <v/>
      </c>
      <c r="N250" s="10" t="n"/>
    </row>
    <row r="251">
      <c r="A251" s="10" t="n"/>
      <c r="B251" s="10" t="n"/>
      <c r="C251" s="10" t="n"/>
      <c r="D251" s="10" t="n"/>
      <c r="E251" s="10" t="n"/>
      <c r="F251" s="13" t="n"/>
      <c r="G251" s="10" t="n"/>
      <c r="H251" s="10" t="n"/>
      <c r="I251" s="10" t="n"/>
      <c r="J251" s="10" t="n"/>
      <c r="K251" s="10">
        <f>IF(A251="","",TEXT(A251,"yyyy-mm"))</f>
        <v/>
      </c>
      <c r="L251" s="10">
        <f>IF(A251="","",WEEKNUM(A251))</f>
        <v/>
      </c>
      <c r="M251" s="10">
        <f>IF(A251="","",IF(COUNTIFS(A:A,A251,B:B,B251,F:F,F251)&gt;1,"⚠ Possible Duplicate",""))</f>
        <v/>
      </c>
      <c r="N251" s="10" t="n"/>
    </row>
    <row r="252">
      <c r="A252" s="10" t="n"/>
      <c r="B252" s="10" t="n"/>
      <c r="C252" s="10" t="n"/>
      <c r="D252" s="10" t="n"/>
      <c r="E252" s="10" t="n"/>
      <c r="F252" s="13" t="n"/>
      <c r="G252" s="10" t="n"/>
      <c r="H252" s="10" t="n"/>
      <c r="I252" s="10" t="n"/>
      <c r="J252" s="10" t="n"/>
      <c r="K252" s="10">
        <f>IF(A252="","",TEXT(A252,"yyyy-mm"))</f>
        <v/>
      </c>
      <c r="L252" s="10">
        <f>IF(A252="","",WEEKNUM(A252))</f>
        <v/>
      </c>
      <c r="M252" s="10">
        <f>IF(A252="","",IF(COUNTIFS(A:A,A252,B:B,B252,F:F,F252)&gt;1,"⚠ Possible Duplicate",""))</f>
        <v/>
      </c>
      <c r="N252" s="10" t="n"/>
    </row>
    <row r="253">
      <c r="A253" s="10" t="n"/>
      <c r="B253" s="10" t="n"/>
      <c r="C253" s="10" t="n"/>
      <c r="D253" s="10" t="n"/>
      <c r="E253" s="10" t="n"/>
      <c r="F253" s="13" t="n"/>
      <c r="G253" s="10" t="n"/>
      <c r="H253" s="10" t="n"/>
      <c r="I253" s="10" t="n"/>
      <c r="J253" s="10" t="n"/>
      <c r="K253" s="10">
        <f>IF(A253="","",TEXT(A253,"yyyy-mm"))</f>
        <v/>
      </c>
      <c r="L253" s="10">
        <f>IF(A253="","",WEEKNUM(A253))</f>
        <v/>
      </c>
      <c r="M253" s="10">
        <f>IF(A253="","",IF(COUNTIFS(A:A,A253,B:B,B253,F:F,F253)&gt;1,"⚠ Possible Duplicate",""))</f>
        <v/>
      </c>
      <c r="N253" s="10" t="n"/>
    </row>
    <row r="254">
      <c r="A254" s="10" t="n"/>
      <c r="B254" s="10" t="n"/>
      <c r="C254" s="10" t="n"/>
      <c r="D254" s="10" t="n"/>
      <c r="E254" s="10" t="n"/>
      <c r="F254" s="13" t="n"/>
      <c r="G254" s="10" t="n"/>
      <c r="H254" s="10" t="n"/>
      <c r="I254" s="10" t="n"/>
      <c r="J254" s="10" t="n"/>
      <c r="K254" s="10">
        <f>IF(A254="","",TEXT(A254,"yyyy-mm"))</f>
        <v/>
      </c>
      <c r="L254" s="10">
        <f>IF(A254="","",WEEKNUM(A254))</f>
        <v/>
      </c>
      <c r="M254" s="10">
        <f>IF(A254="","",IF(COUNTIFS(A:A,A254,B:B,B254,F:F,F254)&gt;1,"⚠ Possible Duplicate",""))</f>
        <v/>
      </c>
      <c r="N254" s="10" t="n"/>
    </row>
    <row r="255">
      <c r="A255" s="10" t="n"/>
      <c r="B255" s="10" t="n"/>
      <c r="C255" s="10" t="n"/>
      <c r="D255" s="10" t="n"/>
      <c r="E255" s="10" t="n"/>
      <c r="F255" s="13" t="n"/>
      <c r="G255" s="10" t="n"/>
      <c r="H255" s="10" t="n"/>
      <c r="I255" s="10" t="n"/>
      <c r="J255" s="10" t="n"/>
      <c r="K255" s="10">
        <f>IF(A255="","",TEXT(A255,"yyyy-mm"))</f>
        <v/>
      </c>
      <c r="L255" s="10">
        <f>IF(A255="","",WEEKNUM(A255))</f>
        <v/>
      </c>
      <c r="M255" s="10">
        <f>IF(A255="","",IF(COUNTIFS(A:A,A255,B:B,B255,F:F,F255)&gt;1,"⚠ Possible Duplicate",""))</f>
        <v/>
      </c>
      <c r="N255" s="10" t="n"/>
    </row>
    <row r="256">
      <c r="A256" s="10" t="n"/>
      <c r="B256" s="10" t="n"/>
      <c r="C256" s="10" t="n"/>
      <c r="D256" s="10" t="n"/>
      <c r="E256" s="10" t="n"/>
      <c r="F256" s="13" t="n"/>
      <c r="G256" s="10" t="n"/>
      <c r="H256" s="10" t="n"/>
      <c r="I256" s="10" t="n"/>
      <c r="J256" s="10" t="n"/>
      <c r="K256" s="10">
        <f>IF(A256="","",TEXT(A256,"yyyy-mm"))</f>
        <v/>
      </c>
      <c r="L256" s="10">
        <f>IF(A256="","",WEEKNUM(A256))</f>
        <v/>
      </c>
      <c r="M256" s="10">
        <f>IF(A256="","",IF(COUNTIFS(A:A,A256,B:B,B256,F:F,F256)&gt;1,"⚠ Possible Duplicate",""))</f>
        <v/>
      </c>
      <c r="N256" s="10" t="n"/>
    </row>
    <row r="257">
      <c r="A257" s="10" t="n"/>
      <c r="B257" s="10" t="n"/>
      <c r="C257" s="10" t="n"/>
      <c r="D257" s="10" t="n"/>
      <c r="E257" s="10" t="n"/>
      <c r="F257" s="13" t="n"/>
      <c r="G257" s="10" t="n"/>
      <c r="H257" s="10" t="n"/>
      <c r="I257" s="10" t="n"/>
      <c r="J257" s="10" t="n"/>
      <c r="K257" s="10">
        <f>IF(A257="","",TEXT(A257,"yyyy-mm"))</f>
        <v/>
      </c>
      <c r="L257" s="10">
        <f>IF(A257="","",WEEKNUM(A257))</f>
        <v/>
      </c>
      <c r="M257" s="10">
        <f>IF(A257="","",IF(COUNTIFS(A:A,A257,B:B,B257,F:F,F257)&gt;1,"⚠ Possible Duplicate",""))</f>
        <v/>
      </c>
      <c r="N257" s="10" t="n"/>
    </row>
    <row r="258">
      <c r="A258" s="10" t="n"/>
      <c r="B258" s="10" t="n"/>
      <c r="C258" s="10" t="n"/>
      <c r="D258" s="10" t="n"/>
      <c r="E258" s="10" t="n"/>
      <c r="F258" s="13" t="n"/>
      <c r="G258" s="10" t="n"/>
      <c r="H258" s="10" t="n"/>
      <c r="I258" s="10" t="n"/>
      <c r="J258" s="10" t="n"/>
      <c r="K258" s="10">
        <f>IF(A258="","",TEXT(A258,"yyyy-mm"))</f>
        <v/>
      </c>
      <c r="L258" s="10">
        <f>IF(A258="","",WEEKNUM(A258))</f>
        <v/>
      </c>
      <c r="M258" s="10">
        <f>IF(A258="","",IF(COUNTIFS(A:A,A258,B:B,B258,F:F,F258)&gt;1,"⚠ Possible Duplicate",""))</f>
        <v/>
      </c>
      <c r="N258" s="10" t="n"/>
    </row>
    <row r="259">
      <c r="A259" s="10" t="n"/>
      <c r="B259" s="10" t="n"/>
      <c r="C259" s="10" t="n"/>
      <c r="D259" s="10" t="n"/>
      <c r="E259" s="10" t="n"/>
      <c r="F259" s="13" t="n"/>
      <c r="G259" s="10" t="n"/>
      <c r="H259" s="10" t="n"/>
      <c r="I259" s="10" t="n"/>
      <c r="J259" s="10" t="n"/>
      <c r="K259" s="10">
        <f>IF(A259="","",TEXT(A259,"yyyy-mm"))</f>
        <v/>
      </c>
      <c r="L259" s="10">
        <f>IF(A259="","",WEEKNUM(A259))</f>
        <v/>
      </c>
      <c r="M259" s="10">
        <f>IF(A259="","",IF(COUNTIFS(A:A,A259,B:B,B259,F:F,F259)&gt;1,"⚠ Possible Duplicate",""))</f>
        <v/>
      </c>
      <c r="N259" s="10" t="n"/>
    </row>
    <row r="260">
      <c r="A260" s="10" t="n"/>
      <c r="B260" s="10" t="n"/>
      <c r="C260" s="10" t="n"/>
      <c r="D260" s="10" t="n"/>
      <c r="E260" s="10" t="n"/>
      <c r="F260" s="13" t="n"/>
      <c r="G260" s="10" t="n"/>
      <c r="H260" s="10" t="n"/>
      <c r="I260" s="10" t="n"/>
      <c r="J260" s="10" t="n"/>
      <c r="K260" s="10">
        <f>IF(A260="","",TEXT(A260,"yyyy-mm"))</f>
        <v/>
      </c>
      <c r="L260" s="10">
        <f>IF(A260="","",WEEKNUM(A260))</f>
        <v/>
      </c>
      <c r="M260" s="10">
        <f>IF(A260="","",IF(COUNTIFS(A:A,A260,B:B,B260,F:F,F260)&gt;1,"⚠ Possible Duplicate",""))</f>
        <v/>
      </c>
      <c r="N260" s="10" t="n"/>
    </row>
    <row r="261">
      <c r="A261" s="10" t="n"/>
      <c r="B261" s="10" t="n"/>
      <c r="C261" s="10" t="n"/>
      <c r="D261" s="10" t="n"/>
      <c r="E261" s="10" t="n"/>
      <c r="F261" s="13" t="n"/>
      <c r="G261" s="10" t="n"/>
      <c r="H261" s="10" t="n"/>
      <c r="I261" s="10" t="n"/>
      <c r="J261" s="10" t="n"/>
      <c r="K261" s="10">
        <f>IF(A261="","",TEXT(A261,"yyyy-mm"))</f>
        <v/>
      </c>
      <c r="L261" s="10">
        <f>IF(A261="","",WEEKNUM(A261))</f>
        <v/>
      </c>
      <c r="M261" s="10">
        <f>IF(A261="","",IF(COUNTIFS(A:A,A261,B:B,B261,F:F,F261)&gt;1,"⚠ Possible Duplicate",""))</f>
        <v/>
      </c>
      <c r="N261" s="10" t="n"/>
    </row>
    <row r="262">
      <c r="A262" s="10" t="n"/>
      <c r="B262" s="10" t="n"/>
      <c r="C262" s="10" t="n"/>
      <c r="D262" s="10" t="n"/>
      <c r="E262" s="10" t="n"/>
      <c r="F262" s="13" t="n"/>
      <c r="G262" s="10" t="n"/>
      <c r="H262" s="10" t="n"/>
      <c r="I262" s="10" t="n"/>
      <c r="J262" s="10" t="n"/>
      <c r="K262" s="10">
        <f>IF(A262="","",TEXT(A262,"yyyy-mm"))</f>
        <v/>
      </c>
      <c r="L262" s="10">
        <f>IF(A262="","",WEEKNUM(A262))</f>
        <v/>
      </c>
      <c r="M262" s="10">
        <f>IF(A262="","",IF(COUNTIFS(A:A,A262,B:B,B262,F:F,F262)&gt;1,"⚠ Possible Duplicate",""))</f>
        <v/>
      </c>
      <c r="N262" s="10" t="n"/>
    </row>
    <row r="263">
      <c r="A263" s="10" t="n"/>
      <c r="B263" s="10" t="n"/>
      <c r="C263" s="10" t="n"/>
      <c r="D263" s="10" t="n"/>
      <c r="E263" s="10" t="n"/>
      <c r="F263" s="13" t="n"/>
      <c r="G263" s="10" t="n"/>
      <c r="H263" s="10" t="n"/>
      <c r="I263" s="10" t="n"/>
      <c r="J263" s="10" t="n"/>
      <c r="K263" s="10">
        <f>IF(A263="","",TEXT(A263,"yyyy-mm"))</f>
        <v/>
      </c>
      <c r="L263" s="10">
        <f>IF(A263="","",WEEKNUM(A263))</f>
        <v/>
      </c>
      <c r="M263" s="10">
        <f>IF(A263="","",IF(COUNTIFS(A:A,A263,B:B,B263,F:F,F263)&gt;1,"⚠ Possible Duplicate",""))</f>
        <v/>
      </c>
      <c r="N263" s="10" t="n"/>
    </row>
    <row r="264">
      <c r="A264" s="10" t="n"/>
      <c r="B264" s="10" t="n"/>
      <c r="C264" s="10" t="n"/>
      <c r="D264" s="10" t="n"/>
      <c r="E264" s="10" t="n"/>
      <c r="F264" s="13" t="n"/>
      <c r="G264" s="10" t="n"/>
      <c r="H264" s="10" t="n"/>
      <c r="I264" s="10" t="n"/>
      <c r="J264" s="10" t="n"/>
      <c r="K264" s="10">
        <f>IF(A264="","",TEXT(A264,"yyyy-mm"))</f>
        <v/>
      </c>
      <c r="L264" s="10">
        <f>IF(A264="","",WEEKNUM(A264))</f>
        <v/>
      </c>
      <c r="M264" s="10">
        <f>IF(A264="","",IF(COUNTIFS(A:A,A264,B:B,B264,F:F,F264)&gt;1,"⚠ Possible Duplicate",""))</f>
        <v/>
      </c>
      <c r="N264" s="10" t="n"/>
    </row>
    <row r="265">
      <c r="A265" s="10" t="n"/>
      <c r="B265" s="10" t="n"/>
      <c r="C265" s="10" t="n"/>
      <c r="D265" s="10" t="n"/>
      <c r="E265" s="10" t="n"/>
      <c r="F265" s="13" t="n"/>
      <c r="G265" s="10" t="n"/>
      <c r="H265" s="10" t="n"/>
      <c r="I265" s="10" t="n"/>
      <c r="J265" s="10" t="n"/>
      <c r="K265" s="10">
        <f>IF(A265="","",TEXT(A265,"yyyy-mm"))</f>
        <v/>
      </c>
      <c r="L265" s="10">
        <f>IF(A265="","",WEEKNUM(A265))</f>
        <v/>
      </c>
      <c r="M265" s="10">
        <f>IF(A265="","",IF(COUNTIFS(A:A,A265,B:B,B265,F:F,F265)&gt;1,"⚠ Possible Duplicate",""))</f>
        <v/>
      </c>
      <c r="N265" s="10" t="n"/>
    </row>
    <row r="266">
      <c r="A266" s="10" t="n"/>
      <c r="B266" s="10" t="n"/>
      <c r="C266" s="10" t="n"/>
      <c r="D266" s="10" t="n"/>
      <c r="E266" s="10" t="n"/>
      <c r="F266" s="13" t="n"/>
      <c r="G266" s="10" t="n"/>
      <c r="H266" s="10" t="n"/>
      <c r="I266" s="10" t="n"/>
      <c r="J266" s="10" t="n"/>
      <c r="K266" s="10">
        <f>IF(A266="","",TEXT(A266,"yyyy-mm"))</f>
        <v/>
      </c>
      <c r="L266" s="10">
        <f>IF(A266="","",WEEKNUM(A266))</f>
        <v/>
      </c>
      <c r="M266" s="10">
        <f>IF(A266="","",IF(COUNTIFS(A:A,A266,B:B,B266,F:F,F266)&gt;1,"⚠ Possible Duplicate",""))</f>
        <v/>
      </c>
      <c r="N266" s="10" t="n"/>
    </row>
    <row r="267">
      <c r="A267" s="10" t="n"/>
      <c r="B267" s="10" t="n"/>
      <c r="C267" s="10" t="n"/>
      <c r="D267" s="10" t="n"/>
      <c r="E267" s="10" t="n"/>
      <c r="F267" s="13" t="n"/>
      <c r="G267" s="10" t="n"/>
      <c r="H267" s="10" t="n"/>
      <c r="I267" s="10" t="n"/>
      <c r="J267" s="10" t="n"/>
      <c r="K267" s="10">
        <f>IF(A267="","",TEXT(A267,"yyyy-mm"))</f>
        <v/>
      </c>
      <c r="L267" s="10">
        <f>IF(A267="","",WEEKNUM(A267))</f>
        <v/>
      </c>
      <c r="M267" s="10">
        <f>IF(A267="","",IF(COUNTIFS(A:A,A267,B:B,B267,F:F,F267)&gt;1,"⚠ Possible Duplicate",""))</f>
        <v/>
      </c>
      <c r="N267" s="10" t="n"/>
    </row>
    <row r="268">
      <c r="A268" s="10" t="n"/>
      <c r="B268" s="10" t="n"/>
      <c r="C268" s="10" t="n"/>
      <c r="D268" s="10" t="n"/>
      <c r="E268" s="10" t="n"/>
      <c r="F268" s="13" t="n"/>
      <c r="G268" s="10" t="n"/>
      <c r="H268" s="10" t="n"/>
      <c r="I268" s="10" t="n"/>
      <c r="J268" s="10" t="n"/>
      <c r="K268" s="10">
        <f>IF(A268="","",TEXT(A268,"yyyy-mm"))</f>
        <v/>
      </c>
      <c r="L268" s="10">
        <f>IF(A268="","",WEEKNUM(A268))</f>
        <v/>
      </c>
      <c r="M268" s="10">
        <f>IF(A268="","",IF(COUNTIFS(A:A,A268,B:B,B268,F:F,F268)&gt;1,"⚠ Possible Duplicate",""))</f>
        <v/>
      </c>
      <c r="N268" s="10" t="n"/>
    </row>
    <row r="269">
      <c r="A269" s="10" t="n"/>
      <c r="B269" s="10" t="n"/>
      <c r="C269" s="10" t="n"/>
      <c r="D269" s="10" t="n"/>
      <c r="E269" s="10" t="n"/>
      <c r="F269" s="13" t="n"/>
      <c r="G269" s="10" t="n"/>
      <c r="H269" s="10" t="n"/>
      <c r="I269" s="10" t="n"/>
      <c r="J269" s="10" t="n"/>
      <c r="K269" s="10">
        <f>IF(A269="","",TEXT(A269,"yyyy-mm"))</f>
        <v/>
      </c>
      <c r="L269" s="10">
        <f>IF(A269="","",WEEKNUM(A269))</f>
        <v/>
      </c>
      <c r="M269" s="10">
        <f>IF(A269="","",IF(COUNTIFS(A:A,A269,B:B,B269,F:F,F269)&gt;1,"⚠ Possible Duplicate",""))</f>
        <v/>
      </c>
      <c r="N269" s="10" t="n"/>
    </row>
    <row r="270">
      <c r="A270" s="10" t="n"/>
      <c r="B270" s="10" t="n"/>
      <c r="C270" s="10" t="n"/>
      <c r="D270" s="10" t="n"/>
      <c r="E270" s="10" t="n"/>
      <c r="F270" s="13" t="n"/>
      <c r="G270" s="10" t="n"/>
      <c r="H270" s="10" t="n"/>
      <c r="I270" s="10" t="n"/>
      <c r="J270" s="10" t="n"/>
      <c r="K270" s="10">
        <f>IF(A270="","",TEXT(A270,"yyyy-mm"))</f>
        <v/>
      </c>
      <c r="L270" s="10">
        <f>IF(A270="","",WEEKNUM(A270))</f>
        <v/>
      </c>
      <c r="M270" s="10">
        <f>IF(A270="","",IF(COUNTIFS(A:A,A270,B:B,B270,F:F,F270)&gt;1,"⚠ Possible Duplicate",""))</f>
        <v/>
      </c>
      <c r="N270" s="10" t="n"/>
    </row>
    <row r="271">
      <c r="A271" s="10" t="n"/>
      <c r="B271" s="10" t="n"/>
      <c r="C271" s="10" t="n"/>
      <c r="D271" s="10" t="n"/>
      <c r="E271" s="10" t="n"/>
      <c r="F271" s="13" t="n"/>
      <c r="G271" s="10" t="n"/>
      <c r="H271" s="10" t="n"/>
      <c r="I271" s="10" t="n"/>
      <c r="J271" s="10" t="n"/>
      <c r="K271" s="10">
        <f>IF(A271="","",TEXT(A271,"yyyy-mm"))</f>
        <v/>
      </c>
      <c r="L271" s="10">
        <f>IF(A271="","",WEEKNUM(A271))</f>
        <v/>
      </c>
      <c r="M271" s="10">
        <f>IF(A271="","",IF(COUNTIFS(A:A,A271,B:B,B271,F:F,F271)&gt;1,"⚠ Possible Duplicate",""))</f>
        <v/>
      </c>
      <c r="N271" s="10" t="n"/>
    </row>
    <row r="272">
      <c r="A272" s="10" t="n"/>
      <c r="B272" s="10" t="n"/>
      <c r="C272" s="10" t="n"/>
      <c r="D272" s="10" t="n"/>
      <c r="E272" s="10" t="n"/>
      <c r="F272" s="13" t="n"/>
      <c r="G272" s="10" t="n"/>
      <c r="H272" s="10" t="n"/>
      <c r="I272" s="10" t="n"/>
      <c r="J272" s="10" t="n"/>
      <c r="K272" s="10">
        <f>IF(A272="","",TEXT(A272,"yyyy-mm"))</f>
        <v/>
      </c>
      <c r="L272" s="10">
        <f>IF(A272="","",WEEKNUM(A272))</f>
        <v/>
      </c>
      <c r="M272" s="10">
        <f>IF(A272="","",IF(COUNTIFS(A:A,A272,B:B,B272,F:F,F272)&gt;1,"⚠ Possible Duplicate",""))</f>
        <v/>
      </c>
      <c r="N272" s="10" t="n"/>
    </row>
    <row r="273">
      <c r="A273" s="10" t="n"/>
      <c r="B273" s="10" t="n"/>
      <c r="C273" s="10" t="n"/>
      <c r="D273" s="10" t="n"/>
      <c r="E273" s="10" t="n"/>
      <c r="F273" s="13" t="n"/>
      <c r="G273" s="10" t="n"/>
      <c r="H273" s="10" t="n"/>
      <c r="I273" s="10" t="n"/>
      <c r="J273" s="10" t="n"/>
      <c r="K273" s="10">
        <f>IF(A273="","",TEXT(A273,"yyyy-mm"))</f>
        <v/>
      </c>
      <c r="L273" s="10">
        <f>IF(A273="","",WEEKNUM(A273))</f>
        <v/>
      </c>
      <c r="M273" s="10">
        <f>IF(A273="","",IF(COUNTIFS(A:A,A273,B:B,B273,F:F,F273)&gt;1,"⚠ Possible Duplicate",""))</f>
        <v/>
      </c>
      <c r="N273" s="10" t="n"/>
    </row>
    <row r="274">
      <c r="A274" s="10" t="n"/>
      <c r="B274" s="10" t="n"/>
      <c r="C274" s="10" t="n"/>
      <c r="D274" s="10" t="n"/>
      <c r="E274" s="10" t="n"/>
      <c r="F274" s="13" t="n"/>
      <c r="G274" s="10" t="n"/>
      <c r="H274" s="10" t="n"/>
      <c r="I274" s="10" t="n"/>
      <c r="J274" s="10" t="n"/>
      <c r="K274" s="10">
        <f>IF(A274="","",TEXT(A274,"yyyy-mm"))</f>
        <v/>
      </c>
      <c r="L274" s="10">
        <f>IF(A274="","",WEEKNUM(A274))</f>
        <v/>
      </c>
      <c r="M274" s="10">
        <f>IF(A274="","",IF(COUNTIFS(A:A,A274,B:B,B274,F:F,F274)&gt;1,"⚠ Possible Duplicate",""))</f>
        <v/>
      </c>
      <c r="N274" s="10" t="n"/>
    </row>
    <row r="275">
      <c r="A275" s="10" t="n"/>
      <c r="B275" s="10" t="n"/>
      <c r="C275" s="10" t="n"/>
      <c r="D275" s="10" t="n"/>
      <c r="E275" s="10" t="n"/>
      <c r="F275" s="13" t="n"/>
      <c r="G275" s="10" t="n"/>
      <c r="H275" s="10" t="n"/>
      <c r="I275" s="10" t="n"/>
      <c r="J275" s="10" t="n"/>
      <c r="K275" s="10">
        <f>IF(A275="","",TEXT(A275,"yyyy-mm"))</f>
        <v/>
      </c>
      <c r="L275" s="10">
        <f>IF(A275="","",WEEKNUM(A275))</f>
        <v/>
      </c>
      <c r="M275" s="10">
        <f>IF(A275="","",IF(COUNTIFS(A:A,A275,B:B,B275,F:F,F275)&gt;1,"⚠ Possible Duplicate",""))</f>
        <v/>
      </c>
      <c r="N275" s="10" t="n"/>
    </row>
    <row r="276">
      <c r="A276" s="10" t="n"/>
      <c r="B276" s="10" t="n"/>
      <c r="C276" s="10" t="n"/>
      <c r="D276" s="10" t="n"/>
      <c r="E276" s="10" t="n"/>
      <c r="F276" s="13" t="n"/>
      <c r="G276" s="10" t="n"/>
      <c r="H276" s="10" t="n"/>
      <c r="I276" s="10" t="n"/>
      <c r="J276" s="10" t="n"/>
      <c r="K276" s="10">
        <f>IF(A276="","",TEXT(A276,"yyyy-mm"))</f>
        <v/>
      </c>
      <c r="L276" s="10">
        <f>IF(A276="","",WEEKNUM(A276))</f>
        <v/>
      </c>
      <c r="M276" s="10">
        <f>IF(A276="","",IF(COUNTIFS(A:A,A276,B:B,B276,F:F,F276)&gt;1,"⚠ Possible Duplicate",""))</f>
        <v/>
      </c>
      <c r="N276" s="10" t="n"/>
    </row>
    <row r="277">
      <c r="A277" s="10" t="n"/>
      <c r="B277" s="10" t="n"/>
      <c r="C277" s="10" t="n"/>
      <c r="D277" s="10" t="n"/>
      <c r="E277" s="10" t="n"/>
      <c r="F277" s="13" t="n"/>
      <c r="G277" s="10" t="n"/>
      <c r="H277" s="10" t="n"/>
      <c r="I277" s="10" t="n"/>
      <c r="J277" s="10" t="n"/>
      <c r="K277" s="10">
        <f>IF(A277="","",TEXT(A277,"yyyy-mm"))</f>
        <v/>
      </c>
      <c r="L277" s="10">
        <f>IF(A277="","",WEEKNUM(A277))</f>
        <v/>
      </c>
      <c r="M277" s="10">
        <f>IF(A277="","",IF(COUNTIFS(A:A,A277,B:B,B277,F:F,F277)&gt;1,"⚠ Possible Duplicate",""))</f>
        <v/>
      </c>
      <c r="N277" s="10" t="n"/>
    </row>
    <row r="278">
      <c r="A278" s="10" t="n"/>
      <c r="B278" s="10" t="n"/>
      <c r="C278" s="10" t="n"/>
      <c r="D278" s="10" t="n"/>
      <c r="E278" s="10" t="n"/>
      <c r="F278" s="13" t="n"/>
      <c r="G278" s="10" t="n"/>
      <c r="H278" s="10" t="n"/>
      <c r="I278" s="10" t="n"/>
      <c r="J278" s="10" t="n"/>
      <c r="K278" s="10">
        <f>IF(A278="","",TEXT(A278,"yyyy-mm"))</f>
        <v/>
      </c>
      <c r="L278" s="10">
        <f>IF(A278="","",WEEKNUM(A278))</f>
        <v/>
      </c>
      <c r="M278" s="10">
        <f>IF(A278="","",IF(COUNTIFS(A:A,A278,B:B,B278,F:F,F278)&gt;1,"⚠ Possible Duplicate",""))</f>
        <v/>
      </c>
      <c r="N278" s="10" t="n"/>
    </row>
    <row r="279">
      <c r="A279" s="10" t="n"/>
      <c r="B279" s="10" t="n"/>
      <c r="C279" s="10" t="n"/>
      <c r="D279" s="10" t="n"/>
      <c r="E279" s="10" t="n"/>
      <c r="F279" s="13" t="n"/>
      <c r="G279" s="10" t="n"/>
      <c r="H279" s="10" t="n"/>
      <c r="I279" s="10" t="n"/>
      <c r="J279" s="10" t="n"/>
      <c r="K279" s="10">
        <f>IF(A279="","",TEXT(A279,"yyyy-mm"))</f>
        <v/>
      </c>
      <c r="L279" s="10">
        <f>IF(A279="","",WEEKNUM(A279))</f>
        <v/>
      </c>
      <c r="M279" s="10">
        <f>IF(A279="","",IF(COUNTIFS(A:A,A279,B:B,B279,F:F,F279)&gt;1,"⚠ Possible Duplicate",""))</f>
        <v/>
      </c>
      <c r="N279" s="10" t="n"/>
    </row>
    <row r="280">
      <c r="A280" s="10" t="n"/>
      <c r="B280" s="10" t="n"/>
      <c r="C280" s="10" t="n"/>
      <c r="D280" s="10" t="n"/>
      <c r="E280" s="10" t="n"/>
      <c r="F280" s="13" t="n"/>
      <c r="G280" s="10" t="n"/>
      <c r="H280" s="10" t="n"/>
      <c r="I280" s="10" t="n"/>
      <c r="J280" s="10" t="n"/>
      <c r="K280" s="10">
        <f>IF(A280="","",TEXT(A280,"yyyy-mm"))</f>
        <v/>
      </c>
      <c r="L280" s="10">
        <f>IF(A280="","",WEEKNUM(A280))</f>
        <v/>
      </c>
      <c r="M280" s="10">
        <f>IF(A280="","",IF(COUNTIFS(A:A,A280,B:B,B280,F:F,F280)&gt;1,"⚠ Possible Duplicate",""))</f>
        <v/>
      </c>
      <c r="N280" s="10" t="n"/>
    </row>
    <row r="281">
      <c r="A281" s="10" t="n"/>
      <c r="B281" s="10" t="n"/>
      <c r="C281" s="10" t="n"/>
      <c r="D281" s="10" t="n"/>
      <c r="E281" s="10" t="n"/>
      <c r="F281" s="13" t="n"/>
      <c r="G281" s="10" t="n"/>
      <c r="H281" s="10" t="n"/>
      <c r="I281" s="10" t="n"/>
      <c r="J281" s="10" t="n"/>
      <c r="K281" s="10">
        <f>IF(A281="","",TEXT(A281,"yyyy-mm"))</f>
        <v/>
      </c>
      <c r="L281" s="10">
        <f>IF(A281="","",WEEKNUM(A281))</f>
        <v/>
      </c>
      <c r="M281" s="10">
        <f>IF(A281="","",IF(COUNTIFS(A:A,A281,B:B,B281,F:F,F281)&gt;1,"⚠ Possible Duplicate",""))</f>
        <v/>
      </c>
      <c r="N281" s="10" t="n"/>
    </row>
    <row r="282">
      <c r="A282" s="10" t="n"/>
      <c r="B282" s="10" t="n"/>
      <c r="C282" s="10" t="n"/>
      <c r="D282" s="10" t="n"/>
      <c r="E282" s="10" t="n"/>
      <c r="F282" s="13" t="n"/>
      <c r="G282" s="10" t="n"/>
      <c r="H282" s="10" t="n"/>
      <c r="I282" s="10" t="n"/>
      <c r="J282" s="10" t="n"/>
      <c r="K282" s="10">
        <f>IF(A282="","",TEXT(A282,"yyyy-mm"))</f>
        <v/>
      </c>
      <c r="L282" s="10">
        <f>IF(A282="","",WEEKNUM(A282))</f>
        <v/>
      </c>
      <c r="M282" s="10">
        <f>IF(A282="","",IF(COUNTIFS(A:A,A282,B:B,B282,F:F,F282)&gt;1,"⚠ Possible Duplicate",""))</f>
        <v/>
      </c>
      <c r="N282" s="10" t="n"/>
    </row>
    <row r="283">
      <c r="A283" s="10" t="n"/>
      <c r="B283" s="10" t="n"/>
      <c r="C283" s="10" t="n"/>
      <c r="D283" s="10" t="n"/>
      <c r="E283" s="10" t="n"/>
      <c r="F283" s="13" t="n"/>
      <c r="G283" s="10" t="n"/>
      <c r="H283" s="10" t="n"/>
      <c r="I283" s="10" t="n"/>
      <c r="J283" s="10" t="n"/>
      <c r="K283" s="10">
        <f>IF(A283="","",TEXT(A283,"yyyy-mm"))</f>
        <v/>
      </c>
      <c r="L283" s="10">
        <f>IF(A283="","",WEEKNUM(A283))</f>
        <v/>
      </c>
      <c r="M283" s="10">
        <f>IF(A283="","",IF(COUNTIFS(A:A,A283,B:B,B283,F:F,F283)&gt;1,"⚠ Possible Duplicate",""))</f>
        <v/>
      </c>
      <c r="N283" s="10" t="n"/>
    </row>
    <row r="284">
      <c r="A284" s="10" t="n"/>
      <c r="B284" s="10" t="n"/>
      <c r="C284" s="10" t="n"/>
      <c r="D284" s="10" t="n"/>
      <c r="E284" s="10" t="n"/>
      <c r="F284" s="13" t="n"/>
      <c r="G284" s="10" t="n"/>
      <c r="H284" s="10" t="n"/>
      <c r="I284" s="10" t="n"/>
      <c r="J284" s="10" t="n"/>
      <c r="K284" s="10">
        <f>IF(A284="","",TEXT(A284,"yyyy-mm"))</f>
        <v/>
      </c>
      <c r="L284" s="10">
        <f>IF(A284="","",WEEKNUM(A284))</f>
        <v/>
      </c>
      <c r="M284" s="10">
        <f>IF(A284="","",IF(COUNTIFS(A:A,A284,B:B,B284,F:F,F284)&gt;1,"⚠ Possible Duplicate",""))</f>
        <v/>
      </c>
      <c r="N284" s="10" t="n"/>
    </row>
    <row r="285">
      <c r="A285" s="10" t="n"/>
      <c r="B285" s="10" t="n"/>
      <c r="C285" s="10" t="n"/>
      <c r="D285" s="10" t="n"/>
      <c r="E285" s="10" t="n"/>
      <c r="F285" s="13" t="n"/>
      <c r="G285" s="10" t="n"/>
      <c r="H285" s="10" t="n"/>
      <c r="I285" s="10" t="n"/>
      <c r="J285" s="10" t="n"/>
      <c r="K285" s="10">
        <f>IF(A285="","",TEXT(A285,"yyyy-mm"))</f>
        <v/>
      </c>
      <c r="L285" s="10">
        <f>IF(A285="","",WEEKNUM(A285))</f>
        <v/>
      </c>
      <c r="M285" s="10">
        <f>IF(A285="","",IF(COUNTIFS(A:A,A285,B:B,B285,F:F,F285)&gt;1,"⚠ Possible Duplicate",""))</f>
        <v/>
      </c>
      <c r="N285" s="10" t="n"/>
    </row>
    <row r="286">
      <c r="A286" s="10" t="n"/>
      <c r="B286" s="10" t="n"/>
      <c r="C286" s="10" t="n"/>
      <c r="D286" s="10" t="n"/>
      <c r="E286" s="10" t="n"/>
      <c r="F286" s="13" t="n"/>
      <c r="G286" s="10" t="n"/>
      <c r="H286" s="10" t="n"/>
      <c r="I286" s="10" t="n"/>
      <c r="J286" s="10" t="n"/>
      <c r="K286" s="10">
        <f>IF(A286="","",TEXT(A286,"yyyy-mm"))</f>
        <v/>
      </c>
      <c r="L286" s="10">
        <f>IF(A286="","",WEEKNUM(A286))</f>
        <v/>
      </c>
      <c r="M286" s="10">
        <f>IF(A286="","",IF(COUNTIFS(A:A,A286,B:B,B286,F:F,F286)&gt;1,"⚠ Possible Duplicate",""))</f>
        <v/>
      </c>
      <c r="N286" s="10" t="n"/>
    </row>
    <row r="287">
      <c r="A287" s="10" t="n"/>
      <c r="B287" s="10" t="n"/>
      <c r="C287" s="10" t="n"/>
      <c r="D287" s="10" t="n"/>
      <c r="E287" s="10" t="n"/>
      <c r="F287" s="13" t="n"/>
      <c r="G287" s="10" t="n"/>
      <c r="H287" s="10" t="n"/>
      <c r="I287" s="10" t="n"/>
      <c r="J287" s="10" t="n"/>
      <c r="K287" s="10">
        <f>IF(A287="","",TEXT(A287,"yyyy-mm"))</f>
        <v/>
      </c>
      <c r="L287" s="10">
        <f>IF(A287="","",WEEKNUM(A287))</f>
        <v/>
      </c>
      <c r="M287" s="10">
        <f>IF(A287="","",IF(COUNTIFS(A:A,A287,B:B,B287,F:F,F287)&gt;1,"⚠ Possible Duplicate",""))</f>
        <v/>
      </c>
      <c r="N287" s="10" t="n"/>
    </row>
    <row r="288">
      <c r="A288" s="10" t="n"/>
      <c r="B288" s="10" t="n"/>
      <c r="C288" s="10" t="n"/>
      <c r="D288" s="10" t="n"/>
      <c r="E288" s="10" t="n"/>
      <c r="F288" s="13" t="n"/>
      <c r="G288" s="10" t="n"/>
      <c r="H288" s="10" t="n"/>
      <c r="I288" s="10" t="n"/>
      <c r="J288" s="10" t="n"/>
      <c r="K288" s="10">
        <f>IF(A288="","",TEXT(A288,"yyyy-mm"))</f>
        <v/>
      </c>
      <c r="L288" s="10">
        <f>IF(A288="","",WEEKNUM(A288))</f>
        <v/>
      </c>
      <c r="M288" s="10">
        <f>IF(A288="","",IF(COUNTIFS(A:A,A288,B:B,B288,F:F,F288)&gt;1,"⚠ Possible Duplicate",""))</f>
        <v/>
      </c>
      <c r="N288" s="10" t="n"/>
    </row>
    <row r="289">
      <c r="A289" s="10" t="n"/>
      <c r="B289" s="10" t="n"/>
      <c r="C289" s="10" t="n"/>
      <c r="D289" s="10" t="n"/>
      <c r="E289" s="10" t="n"/>
      <c r="F289" s="13" t="n"/>
      <c r="G289" s="10" t="n"/>
      <c r="H289" s="10" t="n"/>
      <c r="I289" s="10" t="n"/>
      <c r="J289" s="10" t="n"/>
      <c r="K289" s="10">
        <f>IF(A289="","",TEXT(A289,"yyyy-mm"))</f>
        <v/>
      </c>
      <c r="L289" s="10">
        <f>IF(A289="","",WEEKNUM(A289))</f>
        <v/>
      </c>
      <c r="M289" s="10">
        <f>IF(A289="","",IF(COUNTIFS(A:A,A289,B:B,B289,F:F,F289)&gt;1,"⚠ Possible Duplicate",""))</f>
        <v/>
      </c>
      <c r="N289" s="10" t="n"/>
    </row>
    <row r="290">
      <c r="A290" s="10" t="n"/>
      <c r="B290" s="10" t="n"/>
      <c r="C290" s="10" t="n"/>
      <c r="D290" s="10" t="n"/>
      <c r="E290" s="10" t="n"/>
      <c r="F290" s="13" t="n"/>
      <c r="G290" s="10" t="n"/>
      <c r="H290" s="10" t="n"/>
      <c r="I290" s="10" t="n"/>
      <c r="J290" s="10" t="n"/>
      <c r="K290" s="10">
        <f>IF(A290="","",TEXT(A290,"yyyy-mm"))</f>
        <v/>
      </c>
      <c r="L290" s="10">
        <f>IF(A290="","",WEEKNUM(A290))</f>
        <v/>
      </c>
      <c r="M290" s="10">
        <f>IF(A290="","",IF(COUNTIFS(A:A,A290,B:B,B290,F:F,F290)&gt;1,"⚠ Possible Duplicate",""))</f>
        <v/>
      </c>
      <c r="N290" s="10" t="n"/>
    </row>
    <row r="291">
      <c r="A291" s="10" t="n"/>
      <c r="B291" s="10" t="n"/>
      <c r="C291" s="10" t="n"/>
      <c r="D291" s="10" t="n"/>
      <c r="E291" s="10" t="n"/>
      <c r="F291" s="13" t="n"/>
      <c r="G291" s="10" t="n"/>
      <c r="H291" s="10" t="n"/>
      <c r="I291" s="10" t="n"/>
      <c r="J291" s="10" t="n"/>
      <c r="K291" s="10">
        <f>IF(A291="","",TEXT(A291,"yyyy-mm"))</f>
        <v/>
      </c>
      <c r="L291" s="10">
        <f>IF(A291="","",WEEKNUM(A291))</f>
        <v/>
      </c>
      <c r="M291" s="10">
        <f>IF(A291="","",IF(COUNTIFS(A:A,A291,B:B,B291,F:F,F291)&gt;1,"⚠ Possible Duplicate",""))</f>
        <v/>
      </c>
      <c r="N291" s="10" t="n"/>
    </row>
    <row r="292">
      <c r="A292" s="10" t="n"/>
      <c r="B292" s="10" t="n"/>
      <c r="C292" s="10" t="n"/>
      <c r="D292" s="10" t="n"/>
      <c r="E292" s="10" t="n"/>
      <c r="F292" s="13" t="n"/>
      <c r="G292" s="10" t="n"/>
      <c r="H292" s="10" t="n"/>
      <c r="I292" s="10" t="n"/>
      <c r="J292" s="10" t="n"/>
      <c r="K292" s="10">
        <f>IF(A292="","",TEXT(A292,"yyyy-mm"))</f>
        <v/>
      </c>
      <c r="L292" s="10">
        <f>IF(A292="","",WEEKNUM(A292))</f>
        <v/>
      </c>
      <c r="M292" s="10">
        <f>IF(A292="","",IF(COUNTIFS(A:A,A292,B:B,B292,F:F,F292)&gt;1,"⚠ Possible Duplicate",""))</f>
        <v/>
      </c>
      <c r="N292" s="10" t="n"/>
    </row>
    <row r="293">
      <c r="A293" s="10" t="n"/>
      <c r="B293" s="10" t="n"/>
      <c r="C293" s="10" t="n"/>
      <c r="D293" s="10" t="n"/>
      <c r="E293" s="10" t="n"/>
      <c r="F293" s="13" t="n"/>
      <c r="G293" s="10" t="n"/>
      <c r="H293" s="10" t="n"/>
      <c r="I293" s="10" t="n"/>
      <c r="J293" s="10" t="n"/>
      <c r="K293" s="10">
        <f>IF(A293="","",TEXT(A293,"yyyy-mm"))</f>
        <v/>
      </c>
      <c r="L293" s="10">
        <f>IF(A293="","",WEEKNUM(A293))</f>
        <v/>
      </c>
      <c r="M293" s="10">
        <f>IF(A293="","",IF(COUNTIFS(A:A,A293,B:B,B293,F:F,F293)&gt;1,"⚠ Possible Duplicate",""))</f>
        <v/>
      </c>
      <c r="N293" s="10" t="n"/>
    </row>
    <row r="294">
      <c r="A294" s="10" t="n"/>
      <c r="B294" s="10" t="n"/>
      <c r="C294" s="10" t="n"/>
      <c r="D294" s="10" t="n"/>
      <c r="E294" s="10" t="n"/>
      <c r="F294" s="13" t="n"/>
      <c r="G294" s="10" t="n"/>
      <c r="H294" s="10" t="n"/>
      <c r="I294" s="10" t="n"/>
      <c r="J294" s="10" t="n"/>
      <c r="K294" s="10">
        <f>IF(A294="","",TEXT(A294,"yyyy-mm"))</f>
        <v/>
      </c>
      <c r="L294" s="10">
        <f>IF(A294="","",WEEKNUM(A294))</f>
        <v/>
      </c>
      <c r="M294" s="10">
        <f>IF(A294="","",IF(COUNTIFS(A:A,A294,B:B,B294,F:F,F294)&gt;1,"⚠ Possible Duplicate",""))</f>
        <v/>
      </c>
      <c r="N294" s="10" t="n"/>
    </row>
    <row r="295">
      <c r="A295" s="10" t="n"/>
      <c r="B295" s="10" t="n"/>
      <c r="C295" s="10" t="n"/>
      <c r="D295" s="10" t="n"/>
      <c r="E295" s="10" t="n"/>
      <c r="F295" s="13" t="n"/>
      <c r="G295" s="10" t="n"/>
      <c r="H295" s="10" t="n"/>
      <c r="I295" s="10" t="n"/>
      <c r="J295" s="10" t="n"/>
      <c r="K295" s="10">
        <f>IF(A295="","",TEXT(A295,"yyyy-mm"))</f>
        <v/>
      </c>
      <c r="L295" s="10">
        <f>IF(A295="","",WEEKNUM(A295))</f>
        <v/>
      </c>
      <c r="M295" s="10">
        <f>IF(A295="","",IF(COUNTIFS(A:A,A295,B:B,B295,F:F,F295)&gt;1,"⚠ Possible Duplicate",""))</f>
        <v/>
      </c>
      <c r="N295" s="10" t="n"/>
    </row>
    <row r="296">
      <c r="A296" s="10" t="n"/>
      <c r="B296" s="10" t="n"/>
      <c r="C296" s="10" t="n"/>
      <c r="D296" s="10" t="n"/>
      <c r="E296" s="10" t="n"/>
      <c r="F296" s="13" t="n"/>
      <c r="G296" s="10" t="n"/>
      <c r="H296" s="10" t="n"/>
      <c r="I296" s="10" t="n"/>
      <c r="J296" s="10" t="n"/>
      <c r="K296" s="10">
        <f>IF(A296="","",TEXT(A296,"yyyy-mm"))</f>
        <v/>
      </c>
      <c r="L296" s="10">
        <f>IF(A296="","",WEEKNUM(A296))</f>
        <v/>
      </c>
      <c r="M296" s="10">
        <f>IF(A296="","",IF(COUNTIFS(A:A,A296,B:B,B296,F:F,F296)&gt;1,"⚠ Possible Duplicate",""))</f>
        <v/>
      </c>
      <c r="N296" s="10" t="n"/>
    </row>
    <row r="297">
      <c r="A297" s="10" t="n"/>
      <c r="B297" s="10" t="n"/>
      <c r="C297" s="10" t="n"/>
      <c r="D297" s="10" t="n"/>
      <c r="E297" s="10" t="n"/>
      <c r="F297" s="13" t="n"/>
      <c r="G297" s="10" t="n"/>
      <c r="H297" s="10" t="n"/>
      <c r="I297" s="10" t="n"/>
      <c r="J297" s="10" t="n"/>
      <c r="K297" s="10">
        <f>IF(A297="","",TEXT(A297,"yyyy-mm"))</f>
        <v/>
      </c>
      <c r="L297" s="10">
        <f>IF(A297="","",WEEKNUM(A297))</f>
        <v/>
      </c>
      <c r="M297" s="10">
        <f>IF(A297="","",IF(COUNTIFS(A:A,A297,B:B,B297,F:F,F297)&gt;1,"⚠ Possible Duplicate",""))</f>
        <v/>
      </c>
      <c r="N297" s="10" t="n"/>
    </row>
    <row r="298">
      <c r="A298" s="10" t="n"/>
      <c r="B298" s="10" t="n"/>
      <c r="C298" s="10" t="n"/>
      <c r="D298" s="10" t="n"/>
      <c r="E298" s="10" t="n"/>
      <c r="F298" s="13" t="n"/>
      <c r="G298" s="10" t="n"/>
      <c r="H298" s="10" t="n"/>
      <c r="I298" s="10" t="n"/>
      <c r="J298" s="10" t="n"/>
      <c r="K298" s="10">
        <f>IF(A298="","",TEXT(A298,"yyyy-mm"))</f>
        <v/>
      </c>
      <c r="L298" s="10">
        <f>IF(A298="","",WEEKNUM(A298))</f>
        <v/>
      </c>
      <c r="M298" s="10">
        <f>IF(A298="","",IF(COUNTIFS(A:A,A298,B:B,B298,F:F,F298)&gt;1,"⚠ Possible Duplicate",""))</f>
        <v/>
      </c>
      <c r="N298" s="10" t="n"/>
    </row>
    <row r="299">
      <c r="A299" s="10" t="n"/>
      <c r="B299" s="10" t="n"/>
      <c r="C299" s="10" t="n"/>
      <c r="D299" s="10" t="n"/>
      <c r="E299" s="10" t="n"/>
      <c r="F299" s="13" t="n"/>
      <c r="G299" s="10" t="n"/>
      <c r="H299" s="10" t="n"/>
      <c r="I299" s="10" t="n"/>
      <c r="J299" s="10" t="n"/>
      <c r="K299" s="10">
        <f>IF(A299="","",TEXT(A299,"yyyy-mm"))</f>
        <v/>
      </c>
      <c r="L299" s="10">
        <f>IF(A299="","",WEEKNUM(A299))</f>
        <v/>
      </c>
      <c r="M299" s="10">
        <f>IF(A299="","",IF(COUNTIFS(A:A,A299,B:B,B299,F:F,F299)&gt;1,"⚠ Possible Duplicate",""))</f>
        <v/>
      </c>
      <c r="N299" s="10" t="n"/>
    </row>
    <row r="300">
      <c r="A300" s="10" t="n"/>
      <c r="B300" s="10" t="n"/>
      <c r="C300" s="10" t="n"/>
      <c r="D300" s="10" t="n"/>
      <c r="E300" s="10" t="n"/>
      <c r="F300" s="13" t="n"/>
      <c r="G300" s="10" t="n"/>
      <c r="H300" s="10" t="n"/>
      <c r="I300" s="10" t="n"/>
      <c r="J300" s="10" t="n"/>
      <c r="K300" s="10">
        <f>IF(A300="","",TEXT(A300,"yyyy-mm"))</f>
        <v/>
      </c>
      <c r="L300" s="10">
        <f>IF(A300="","",WEEKNUM(A300))</f>
        <v/>
      </c>
      <c r="M300" s="10">
        <f>IF(A300="","",IF(COUNTIFS(A:A,A300,B:B,B300,F:F,F300)&gt;1,"⚠ Possible Duplicate",""))</f>
        <v/>
      </c>
      <c r="N300" s="10" t="n"/>
    </row>
    <row r="301">
      <c r="A301" s="10" t="n"/>
      <c r="B301" s="10" t="n"/>
      <c r="C301" s="10" t="n"/>
      <c r="D301" s="10" t="n"/>
      <c r="E301" s="10" t="n"/>
      <c r="F301" s="13" t="n"/>
      <c r="G301" s="10" t="n"/>
      <c r="H301" s="10" t="n"/>
      <c r="I301" s="10" t="n"/>
      <c r="J301" s="10" t="n"/>
      <c r="K301" s="10">
        <f>IF(A301="","",TEXT(A301,"yyyy-mm"))</f>
        <v/>
      </c>
      <c r="L301" s="10">
        <f>IF(A301="","",WEEKNUM(A301))</f>
        <v/>
      </c>
      <c r="M301" s="10">
        <f>IF(A301="","",IF(COUNTIFS(A:A,A301,B:B,B301,F:F,F301)&gt;1,"⚠ Possible Duplicate",""))</f>
        <v/>
      </c>
      <c r="N301" s="10" t="n"/>
    </row>
    <row r="302">
      <c r="A302" s="10" t="n"/>
      <c r="B302" s="10" t="n"/>
      <c r="C302" s="10" t="n"/>
      <c r="D302" s="10" t="n"/>
      <c r="E302" s="10" t="n"/>
      <c r="F302" s="13" t="n"/>
      <c r="G302" s="10" t="n"/>
      <c r="H302" s="10" t="n"/>
      <c r="I302" s="10" t="n"/>
      <c r="J302" s="10" t="n"/>
      <c r="K302" s="10">
        <f>IF(A302="","",TEXT(A302,"yyyy-mm"))</f>
        <v/>
      </c>
      <c r="L302" s="10">
        <f>IF(A302="","",WEEKNUM(A302))</f>
        <v/>
      </c>
      <c r="M302" s="10">
        <f>IF(A302="","",IF(COUNTIFS(A:A,A302,B:B,B302,F:F,F302)&gt;1,"⚠ Possible Duplicate",""))</f>
        <v/>
      </c>
      <c r="N302" s="10" t="n"/>
    </row>
    <row r="303">
      <c r="A303" s="10" t="n"/>
      <c r="B303" s="10" t="n"/>
      <c r="C303" s="10" t="n"/>
      <c r="D303" s="10" t="n"/>
      <c r="E303" s="10" t="n"/>
      <c r="F303" s="13" t="n"/>
      <c r="G303" s="10" t="n"/>
      <c r="H303" s="10" t="n"/>
      <c r="I303" s="10" t="n"/>
      <c r="J303" s="10" t="n"/>
      <c r="K303" s="10">
        <f>IF(A303="","",TEXT(A303,"yyyy-mm"))</f>
        <v/>
      </c>
      <c r="L303" s="10">
        <f>IF(A303="","",WEEKNUM(A303))</f>
        <v/>
      </c>
      <c r="M303" s="10">
        <f>IF(A303="","",IF(COUNTIFS(A:A,A303,B:B,B303,F:F,F303)&gt;1,"⚠ Possible Duplicate",""))</f>
        <v/>
      </c>
      <c r="N303" s="10" t="n"/>
    </row>
    <row r="304">
      <c r="A304" s="10" t="n"/>
      <c r="B304" s="10" t="n"/>
      <c r="C304" s="10" t="n"/>
      <c r="D304" s="10" t="n"/>
      <c r="E304" s="10" t="n"/>
      <c r="F304" s="13" t="n"/>
      <c r="G304" s="10" t="n"/>
      <c r="H304" s="10" t="n"/>
      <c r="I304" s="10" t="n"/>
      <c r="J304" s="10" t="n"/>
      <c r="K304" s="10">
        <f>IF(A304="","",TEXT(A304,"yyyy-mm"))</f>
        <v/>
      </c>
      <c r="L304" s="10">
        <f>IF(A304="","",WEEKNUM(A304))</f>
        <v/>
      </c>
      <c r="M304" s="10">
        <f>IF(A304="","",IF(COUNTIFS(A:A,A304,B:B,B304,F:F,F304)&gt;1,"⚠ Possible Duplicate",""))</f>
        <v/>
      </c>
      <c r="N304" s="10" t="n"/>
    </row>
    <row r="305">
      <c r="A305" s="10" t="n"/>
      <c r="B305" s="10" t="n"/>
      <c r="C305" s="10" t="n"/>
      <c r="D305" s="10" t="n"/>
      <c r="E305" s="10" t="n"/>
      <c r="F305" s="13" t="n"/>
      <c r="G305" s="10" t="n"/>
      <c r="H305" s="10" t="n"/>
      <c r="I305" s="10" t="n"/>
      <c r="J305" s="10" t="n"/>
      <c r="K305" s="10">
        <f>IF(A305="","",TEXT(A305,"yyyy-mm"))</f>
        <v/>
      </c>
      <c r="L305" s="10">
        <f>IF(A305="","",WEEKNUM(A305))</f>
        <v/>
      </c>
      <c r="M305" s="10">
        <f>IF(A305="","",IF(COUNTIFS(A:A,A305,B:B,B305,F:F,F305)&gt;1,"⚠ Possible Duplicate",""))</f>
        <v/>
      </c>
      <c r="N305" s="10" t="n"/>
    </row>
    <row r="306">
      <c r="A306" s="10" t="n"/>
      <c r="B306" s="10" t="n"/>
      <c r="C306" s="10" t="n"/>
      <c r="D306" s="10" t="n"/>
      <c r="E306" s="10" t="n"/>
      <c r="F306" s="13" t="n"/>
      <c r="G306" s="10" t="n"/>
      <c r="H306" s="10" t="n"/>
      <c r="I306" s="10" t="n"/>
      <c r="J306" s="10" t="n"/>
      <c r="K306" s="10">
        <f>IF(A306="","",TEXT(A306,"yyyy-mm"))</f>
        <v/>
      </c>
      <c r="L306" s="10">
        <f>IF(A306="","",WEEKNUM(A306))</f>
        <v/>
      </c>
      <c r="M306" s="10">
        <f>IF(A306="","",IF(COUNTIFS(A:A,A306,B:B,B306,F:F,F306)&gt;1,"⚠ Possible Duplicate",""))</f>
        <v/>
      </c>
      <c r="N306" s="10" t="n"/>
    </row>
    <row r="307">
      <c r="A307" s="10" t="n"/>
      <c r="B307" s="10" t="n"/>
      <c r="C307" s="10" t="n"/>
      <c r="D307" s="10" t="n"/>
      <c r="E307" s="10" t="n"/>
      <c r="F307" s="13" t="n"/>
      <c r="G307" s="10" t="n"/>
      <c r="H307" s="10" t="n"/>
      <c r="I307" s="10" t="n"/>
      <c r="J307" s="10" t="n"/>
      <c r="K307" s="10">
        <f>IF(A307="","",TEXT(A307,"yyyy-mm"))</f>
        <v/>
      </c>
      <c r="L307" s="10">
        <f>IF(A307="","",WEEKNUM(A307))</f>
        <v/>
      </c>
      <c r="M307" s="10">
        <f>IF(A307="","",IF(COUNTIFS(A:A,A307,B:B,B307,F:F,F307)&gt;1,"⚠ Possible Duplicate",""))</f>
        <v/>
      </c>
      <c r="N307" s="10" t="n"/>
    </row>
    <row r="308">
      <c r="A308" s="10" t="n"/>
      <c r="B308" s="10" t="n"/>
      <c r="C308" s="10" t="n"/>
      <c r="D308" s="10" t="n"/>
      <c r="E308" s="10" t="n"/>
      <c r="F308" s="13" t="n"/>
      <c r="G308" s="10" t="n"/>
      <c r="H308" s="10" t="n"/>
      <c r="I308" s="10" t="n"/>
      <c r="J308" s="10" t="n"/>
      <c r="K308" s="10">
        <f>IF(A308="","",TEXT(A308,"yyyy-mm"))</f>
        <v/>
      </c>
      <c r="L308" s="10">
        <f>IF(A308="","",WEEKNUM(A308))</f>
        <v/>
      </c>
      <c r="M308" s="10">
        <f>IF(A308="","",IF(COUNTIFS(A:A,A308,B:B,B308,F:F,F308)&gt;1,"⚠ Possible Duplicate",""))</f>
        <v/>
      </c>
      <c r="N308" s="10" t="n"/>
    </row>
    <row r="309">
      <c r="A309" s="10" t="n"/>
      <c r="B309" s="10" t="n"/>
      <c r="C309" s="10" t="n"/>
      <c r="D309" s="10" t="n"/>
      <c r="E309" s="10" t="n"/>
      <c r="F309" s="13" t="n"/>
      <c r="G309" s="10" t="n"/>
      <c r="H309" s="10" t="n"/>
      <c r="I309" s="10" t="n"/>
      <c r="J309" s="10" t="n"/>
      <c r="K309" s="10">
        <f>IF(A309="","",TEXT(A309,"yyyy-mm"))</f>
        <v/>
      </c>
      <c r="L309" s="10">
        <f>IF(A309="","",WEEKNUM(A309))</f>
        <v/>
      </c>
      <c r="M309" s="10">
        <f>IF(A309="","",IF(COUNTIFS(A:A,A309,B:B,B309,F:F,F309)&gt;1,"⚠ Possible Duplicate",""))</f>
        <v/>
      </c>
      <c r="N309" s="10" t="n"/>
    </row>
    <row r="310">
      <c r="A310" s="10" t="n"/>
      <c r="B310" s="10" t="n"/>
      <c r="C310" s="10" t="n"/>
      <c r="D310" s="10" t="n"/>
      <c r="E310" s="10" t="n"/>
      <c r="F310" s="13" t="n"/>
      <c r="G310" s="10" t="n"/>
      <c r="H310" s="10" t="n"/>
      <c r="I310" s="10" t="n"/>
      <c r="J310" s="10" t="n"/>
      <c r="K310" s="10">
        <f>IF(A310="","",TEXT(A310,"yyyy-mm"))</f>
        <v/>
      </c>
      <c r="L310" s="10">
        <f>IF(A310="","",WEEKNUM(A310))</f>
        <v/>
      </c>
      <c r="M310" s="10">
        <f>IF(A310="","",IF(COUNTIFS(A:A,A310,B:B,B310,F:F,F310)&gt;1,"⚠ Possible Duplicate",""))</f>
        <v/>
      </c>
      <c r="N310" s="10" t="n"/>
    </row>
    <row r="311">
      <c r="A311" s="10" t="n"/>
      <c r="B311" s="10" t="n"/>
      <c r="C311" s="10" t="n"/>
      <c r="D311" s="10" t="n"/>
      <c r="E311" s="10" t="n"/>
      <c r="F311" s="13" t="n"/>
      <c r="G311" s="10" t="n"/>
      <c r="H311" s="10" t="n"/>
      <c r="I311" s="10" t="n"/>
      <c r="J311" s="10" t="n"/>
      <c r="K311" s="10">
        <f>IF(A311="","",TEXT(A311,"yyyy-mm"))</f>
        <v/>
      </c>
      <c r="L311" s="10">
        <f>IF(A311="","",WEEKNUM(A311))</f>
        <v/>
      </c>
      <c r="M311" s="10">
        <f>IF(A311="","",IF(COUNTIFS(A:A,A311,B:B,B311,F:F,F311)&gt;1,"⚠ Possible Duplicate",""))</f>
        <v/>
      </c>
      <c r="N311" s="10" t="n"/>
    </row>
    <row r="312">
      <c r="A312" s="10" t="n"/>
      <c r="B312" s="10" t="n"/>
      <c r="C312" s="10" t="n"/>
      <c r="D312" s="10" t="n"/>
      <c r="E312" s="10" t="n"/>
      <c r="F312" s="13" t="n"/>
      <c r="G312" s="10" t="n"/>
      <c r="H312" s="10" t="n"/>
      <c r="I312" s="10" t="n"/>
      <c r="J312" s="10" t="n"/>
      <c r="K312" s="10">
        <f>IF(A312="","",TEXT(A312,"yyyy-mm"))</f>
        <v/>
      </c>
      <c r="L312" s="10">
        <f>IF(A312="","",WEEKNUM(A312))</f>
        <v/>
      </c>
      <c r="M312" s="10">
        <f>IF(A312="","",IF(COUNTIFS(A:A,A312,B:B,B312,F:F,F312)&gt;1,"⚠ Possible Duplicate",""))</f>
        <v/>
      </c>
      <c r="N312" s="10" t="n"/>
    </row>
    <row r="313">
      <c r="A313" s="10" t="n"/>
      <c r="B313" s="10" t="n"/>
      <c r="C313" s="10" t="n"/>
      <c r="D313" s="10" t="n"/>
      <c r="E313" s="10" t="n"/>
      <c r="F313" s="13" t="n"/>
      <c r="G313" s="10" t="n"/>
      <c r="H313" s="10" t="n"/>
      <c r="I313" s="10" t="n"/>
      <c r="J313" s="10" t="n"/>
      <c r="K313" s="10">
        <f>IF(A313="","",TEXT(A313,"yyyy-mm"))</f>
        <v/>
      </c>
      <c r="L313" s="10">
        <f>IF(A313="","",WEEKNUM(A313))</f>
        <v/>
      </c>
      <c r="M313" s="10">
        <f>IF(A313="","",IF(COUNTIFS(A:A,A313,B:B,B313,F:F,F313)&gt;1,"⚠ Possible Duplicate",""))</f>
        <v/>
      </c>
      <c r="N313" s="10" t="n"/>
    </row>
    <row r="314">
      <c r="A314" s="10" t="n"/>
      <c r="B314" s="10" t="n"/>
      <c r="C314" s="10" t="n"/>
      <c r="D314" s="10" t="n"/>
      <c r="E314" s="10" t="n"/>
      <c r="F314" s="13" t="n"/>
      <c r="G314" s="10" t="n"/>
      <c r="H314" s="10" t="n"/>
      <c r="I314" s="10" t="n"/>
      <c r="J314" s="10" t="n"/>
      <c r="K314" s="10">
        <f>IF(A314="","",TEXT(A314,"yyyy-mm"))</f>
        <v/>
      </c>
      <c r="L314" s="10">
        <f>IF(A314="","",WEEKNUM(A314))</f>
        <v/>
      </c>
      <c r="M314" s="10">
        <f>IF(A314="","",IF(COUNTIFS(A:A,A314,B:B,B314,F:F,F314)&gt;1,"⚠ Possible Duplicate",""))</f>
        <v/>
      </c>
      <c r="N314" s="10" t="n"/>
    </row>
    <row r="315">
      <c r="A315" s="10" t="n"/>
      <c r="B315" s="10" t="n"/>
      <c r="C315" s="10" t="n"/>
      <c r="D315" s="10" t="n"/>
      <c r="E315" s="10" t="n"/>
      <c r="F315" s="13" t="n"/>
      <c r="G315" s="10" t="n"/>
      <c r="H315" s="10" t="n"/>
      <c r="I315" s="10" t="n"/>
      <c r="J315" s="10" t="n"/>
      <c r="K315" s="10">
        <f>IF(A315="","",TEXT(A315,"yyyy-mm"))</f>
        <v/>
      </c>
      <c r="L315" s="10">
        <f>IF(A315="","",WEEKNUM(A315))</f>
        <v/>
      </c>
      <c r="M315" s="10">
        <f>IF(A315="","",IF(COUNTIFS(A:A,A315,B:B,B315,F:F,F315)&gt;1,"⚠ Possible Duplicate",""))</f>
        <v/>
      </c>
      <c r="N315" s="10" t="n"/>
    </row>
    <row r="316">
      <c r="A316" s="10" t="n"/>
      <c r="B316" s="10" t="n"/>
      <c r="C316" s="10" t="n"/>
      <c r="D316" s="10" t="n"/>
      <c r="E316" s="10" t="n"/>
      <c r="F316" s="13" t="n"/>
      <c r="G316" s="10" t="n"/>
      <c r="H316" s="10" t="n"/>
      <c r="I316" s="10" t="n"/>
      <c r="J316" s="10" t="n"/>
      <c r="K316" s="10">
        <f>IF(A316="","",TEXT(A316,"yyyy-mm"))</f>
        <v/>
      </c>
      <c r="L316" s="10">
        <f>IF(A316="","",WEEKNUM(A316))</f>
        <v/>
      </c>
      <c r="M316" s="10">
        <f>IF(A316="","",IF(COUNTIFS(A:A,A316,B:B,B316,F:F,F316)&gt;1,"⚠ Possible Duplicate",""))</f>
        <v/>
      </c>
      <c r="N316" s="10" t="n"/>
    </row>
    <row r="317">
      <c r="A317" s="10" t="n"/>
      <c r="B317" s="10" t="n"/>
      <c r="C317" s="10" t="n"/>
      <c r="D317" s="10" t="n"/>
      <c r="E317" s="10" t="n"/>
      <c r="F317" s="13" t="n"/>
      <c r="G317" s="10" t="n"/>
      <c r="H317" s="10" t="n"/>
      <c r="I317" s="10" t="n"/>
      <c r="J317" s="10" t="n"/>
      <c r="K317" s="10">
        <f>IF(A317="","",TEXT(A317,"yyyy-mm"))</f>
        <v/>
      </c>
      <c r="L317" s="10">
        <f>IF(A317="","",WEEKNUM(A317))</f>
        <v/>
      </c>
      <c r="M317" s="10">
        <f>IF(A317="","",IF(COUNTIFS(A:A,A317,B:B,B317,F:F,F317)&gt;1,"⚠ Possible Duplicate",""))</f>
        <v/>
      </c>
      <c r="N317" s="10" t="n"/>
    </row>
    <row r="318">
      <c r="A318" s="10" t="n"/>
      <c r="B318" s="10" t="n"/>
      <c r="C318" s="10" t="n"/>
      <c r="D318" s="10" t="n"/>
      <c r="E318" s="10" t="n"/>
      <c r="F318" s="13" t="n"/>
      <c r="G318" s="10" t="n"/>
      <c r="H318" s="10" t="n"/>
      <c r="I318" s="10" t="n"/>
      <c r="J318" s="10" t="n"/>
      <c r="K318" s="10">
        <f>IF(A318="","",TEXT(A318,"yyyy-mm"))</f>
        <v/>
      </c>
      <c r="L318" s="10">
        <f>IF(A318="","",WEEKNUM(A318))</f>
        <v/>
      </c>
      <c r="M318" s="10">
        <f>IF(A318="","",IF(COUNTIFS(A:A,A318,B:B,B318,F:F,F318)&gt;1,"⚠ Possible Duplicate",""))</f>
        <v/>
      </c>
      <c r="N318" s="10" t="n"/>
    </row>
    <row r="319">
      <c r="A319" s="10" t="n"/>
      <c r="B319" s="10" t="n"/>
      <c r="C319" s="10" t="n"/>
      <c r="D319" s="10" t="n"/>
      <c r="E319" s="10" t="n"/>
      <c r="F319" s="13" t="n"/>
      <c r="G319" s="10" t="n"/>
      <c r="H319" s="10" t="n"/>
      <c r="I319" s="10" t="n"/>
      <c r="J319" s="10" t="n"/>
      <c r="K319" s="10">
        <f>IF(A319="","",TEXT(A319,"yyyy-mm"))</f>
        <v/>
      </c>
      <c r="L319" s="10">
        <f>IF(A319="","",WEEKNUM(A319))</f>
        <v/>
      </c>
      <c r="M319" s="10">
        <f>IF(A319="","",IF(COUNTIFS(A:A,A319,B:B,B319,F:F,F319)&gt;1,"⚠ Possible Duplicate",""))</f>
        <v/>
      </c>
      <c r="N319" s="10" t="n"/>
    </row>
    <row r="320">
      <c r="A320" s="10" t="n"/>
      <c r="B320" s="10" t="n"/>
      <c r="C320" s="10" t="n"/>
      <c r="D320" s="10" t="n"/>
      <c r="E320" s="10" t="n"/>
      <c r="F320" s="13" t="n"/>
      <c r="G320" s="10" t="n"/>
      <c r="H320" s="10" t="n"/>
      <c r="I320" s="10" t="n"/>
      <c r="J320" s="10" t="n"/>
      <c r="K320" s="10">
        <f>IF(A320="","",TEXT(A320,"yyyy-mm"))</f>
        <v/>
      </c>
      <c r="L320" s="10">
        <f>IF(A320="","",WEEKNUM(A320))</f>
        <v/>
      </c>
      <c r="M320" s="10">
        <f>IF(A320="","",IF(COUNTIFS(A:A,A320,B:B,B320,F:F,F320)&gt;1,"⚠ Possible Duplicate",""))</f>
        <v/>
      </c>
      <c r="N320" s="10" t="n"/>
    </row>
    <row r="321">
      <c r="A321" s="10" t="n"/>
      <c r="B321" s="10" t="n"/>
      <c r="C321" s="10" t="n"/>
      <c r="D321" s="10" t="n"/>
      <c r="E321" s="10" t="n"/>
      <c r="F321" s="13" t="n"/>
      <c r="G321" s="10" t="n"/>
      <c r="H321" s="10" t="n"/>
      <c r="I321" s="10" t="n"/>
      <c r="J321" s="10" t="n"/>
      <c r="K321" s="10">
        <f>IF(A321="","",TEXT(A321,"yyyy-mm"))</f>
        <v/>
      </c>
      <c r="L321" s="10">
        <f>IF(A321="","",WEEKNUM(A321))</f>
        <v/>
      </c>
      <c r="M321" s="10">
        <f>IF(A321="","",IF(COUNTIFS(A:A,A321,B:B,B321,F:F,F321)&gt;1,"⚠ Possible Duplicate",""))</f>
        <v/>
      </c>
      <c r="N321" s="10" t="n"/>
    </row>
    <row r="322">
      <c r="A322" s="10" t="n"/>
      <c r="B322" s="10" t="n"/>
      <c r="C322" s="10" t="n"/>
      <c r="D322" s="10" t="n"/>
      <c r="E322" s="10" t="n"/>
      <c r="F322" s="13" t="n"/>
      <c r="G322" s="10" t="n"/>
      <c r="H322" s="10" t="n"/>
      <c r="I322" s="10" t="n"/>
      <c r="J322" s="10" t="n"/>
      <c r="K322" s="10">
        <f>IF(A322="","",TEXT(A322,"yyyy-mm"))</f>
        <v/>
      </c>
      <c r="L322" s="10">
        <f>IF(A322="","",WEEKNUM(A322))</f>
        <v/>
      </c>
      <c r="M322" s="10">
        <f>IF(A322="","",IF(COUNTIFS(A:A,A322,B:B,B322,F:F,F322)&gt;1,"⚠ Possible Duplicate",""))</f>
        <v/>
      </c>
      <c r="N322" s="10" t="n"/>
    </row>
    <row r="323">
      <c r="A323" s="10" t="n"/>
      <c r="B323" s="10" t="n"/>
      <c r="C323" s="10" t="n"/>
      <c r="D323" s="10" t="n"/>
      <c r="E323" s="10" t="n"/>
      <c r="F323" s="13" t="n"/>
      <c r="G323" s="10" t="n"/>
      <c r="H323" s="10" t="n"/>
      <c r="I323" s="10" t="n"/>
      <c r="J323" s="10" t="n"/>
      <c r="K323" s="10">
        <f>IF(A323="","",TEXT(A323,"yyyy-mm"))</f>
        <v/>
      </c>
      <c r="L323" s="10">
        <f>IF(A323="","",WEEKNUM(A323))</f>
        <v/>
      </c>
      <c r="M323" s="10">
        <f>IF(A323="","",IF(COUNTIFS(A:A,A323,B:B,B323,F:F,F323)&gt;1,"⚠ Possible Duplicate",""))</f>
        <v/>
      </c>
      <c r="N323" s="10" t="n"/>
    </row>
    <row r="324">
      <c r="A324" s="10" t="n"/>
      <c r="B324" s="10" t="n"/>
      <c r="C324" s="10" t="n"/>
      <c r="D324" s="10" t="n"/>
      <c r="E324" s="10" t="n"/>
      <c r="F324" s="13" t="n"/>
      <c r="G324" s="10" t="n"/>
      <c r="H324" s="10" t="n"/>
      <c r="I324" s="10" t="n"/>
      <c r="J324" s="10" t="n"/>
      <c r="K324" s="10">
        <f>IF(A324="","",TEXT(A324,"yyyy-mm"))</f>
        <v/>
      </c>
      <c r="L324" s="10">
        <f>IF(A324="","",WEEKNUM(A324))</f>
        <v/>
      </c>
      <c r="M324" s="10">
        <f>IF(A324="","",IF(COUNTIFS(A:A,A324,B:B,B324,F:F,F324)&gt;1,"⚠ Possible Duplicate",""))</f>
        <v/>
      </c>
      <c r="N324" s="10" t="n"/>
    </row>
    <row r="325">
      <c r="A325" s="10" t="n"/>
      <c r="B325" s="10" t="n"/>
      <c r="C325" s="10" t="n"/>
      <c r="D325" s="10" t="n"/>
      <c r="E325" s="10" t="n"/>
      <c r="F325" s="13" t="n"/>
      <c r="G325" s="10" t="n"/>
      <c r="H325" s="10" t="n"/>
      <c r="I325" s="10" t="n"/>
      <c r="J325" s="10" t="n"/>
      <c r="K325" s="10">
        <f>IF(A325="","",TEXT(A325,"yyyy-mm"))</f>
        <v/>
      </c>
      <c r="L325" s="10">
        <f>IF(A325="","",WEEKNUM(A325))</f>
        <v/>
      </c>
      <c r="M325" s="10">
        <f>IF(A325="","",IF(COUNTIFS(A:A,A325,B:B,B325,F:F,F325)&gt;1,"⚠ Possible Duplicate",""))</f>
        <v/>
      </c>
      <c r="N325" s="10" t="n"/>
    </row>
    <row r="326">
      <c r="A326" s="10" t="n"/>
      <c r="B326" s="10" t="n"/>
      <c r="C326" s="10" t="n"/>
      <c r="D326" s="10" t="n"/>
      <c r="E326" s="10" t="n"/>
      <c r="F326" s="13" t="n"/>
      <c r="G326" s="10" t="n"/>
      <c r="H326" s="10" t="n"/>
      <c r="I326" s="10" t="n"/>
      <c r="J326" s="10" t="n"/>
      <c r="K326" s="10">
        <f>IF(A326="","",TEXT(A326,"yyyy-mm"))</f>
        <v/>
      </c>
      <c r="L326" s="10">
        <f>IF(A326="","",WEEKNUM(A326))</f>
        <v/>
      </c>
      <c r="M326" s="10">
        <f>IF(A326="","",IF(COUNTIFS(A:A,A326,B:B,B326,F:F,F326)&gt;1,"⚠ Possible Duplicate",""))</f>
        <v/>
      </c>
      <c r="N326" s="10" t="n"/>
    </row>
    <row r="327">
      <c r="A327" s="10" t="n"/>
      <c r="B327" s="10" t="n"/>
      <c r="C327" s="10" t="n"/>
      <c r="D327" s="10" t="n"/>
      <c r="E327" s="10" t="n"/>
      <c r="F327" s="13" t="n"/>
      <c r="G327" s="10" t="n"/>
      <c r="H327" s="10" t="n"/>
      <c r="I327" s="10" t="n"/>
      <c r="J327" s="10" t="n"/>
      <c r="K327" s="10">
        <f>IF(A327="","",TEXT(A327,"yyyy-mm"))</f>
        <v/>
      </c>
      <c r="L327" s="10">
        <f>IF(A327="","",WEEKNUM(A327))</f>
        <v/>
      </c>
      <c r="M327" s="10">
        <f>IF(A327="","",IF(COUNTIFS(A:A,A327,B:B,B327,F:F,F327)&gt;1,"⚠ Possible Duplicate",""))</f>
        <v/>
      </c>
      <c r="N327" s="10" t="n"/>
    </row>
    <row r="328">
      <c r="A328" s="10" t="n"/>
      <c r="B328" s="10" t="n"/>
      <c r="C328" s="10" t="n"/>
      <c r="D328" s="10" t="n"/>
      <c r="E328" s="10" t="n"/>
      <c r="F328" s="13" t="n"/>
      <c r="G328" s="10" t="n"/>
      <c r="H328" s="10" t="n"/>
      <c r="I328" s="10" t="n"/>
      <c r="J328" s="10" t="n"/>
      <c r="K328" s="10">
        <f>IF(A328="","",TEXT(A328,"yyyy-mm"))</f>
        <v/>
      </c>
      <c r="L328" s="10">
        <f>IF(A328="","",WEEKNUM(A328))</f>
        <v/>
      </c>
      <c r="M328" s="10">
        <f>IF(A328="","",IF(COUNTIFS(A:A,A328,B:B,B328,F:F,F328)&gt;1,"⚠ Possible Duplicate",""))</f>
        <v/>
      </c>
      <c r="N328" s="10" t="n"/>
    </row>
    <row r="329">
      <c r="A329" s="10" t="n"/>
      <c r="B329" s="10" t="n"/>
      <c r="C329" s="10" t="n"/>
      <c r="D329" s="10" t="n"/>
      <c r="E329" s="10" t="n"/>
      <c r="F329" s="13" t="n"/>
      <c r="G329" s="10" t="n"/>
      <c r="H329" s="10" t="n"/>
      <c r="I329" s="10" t="n"/>
      <c r="J329" s="10" t="n"/>
      <c r="K329" s="10">
        <f>IF(A329="","",TEXT(A329,"yyyy-mm"))</f>
        <v/>
      </c>
      <c r="L329" s="10">
        <f>IF(A329="","",WEEKNUM(A329))</f>
        <v/>
      </c>
      <c r="M329" s="10">
        <f>IF(A329="","",IF(COUNTIFS(A:A,A329,B:B,B329,F:F,F329)&gt;1,"⚠ Possible Duplicate",""))</f>
        <v/>
      </c>
      <c r="N329" s="10" t="n"/>
    </row>
    <row r="330">
      <c r="A330" s="10" t="n"/>
      <c r="B330" s="10" t="n"/>
      <c r="C330" s="10" t="n"/>
      <c r="D330" s="10" t="n"/>
      <c r="E330" s="10" t="n"/>
      <c r="F330" s="13" t="n"/>
      <c r="G330" s="10" t="n"/>
      <c r="H330" s="10" t="n"/>
      <c r="I330" s="10" t="n"/>
      <c r="J330" s="10" t="n"/>
      <c r="K330" s="10">
        <f>IF(A330="","",TEXT(A330,"yyyy-mm"))</f>
        <v/>
      </c>
      <c r="L330" s="10">
        <f>IF(A330="","",WEEKNUM(A330))</f>
        <v/>
      </c>
      <c r="M330" s="10">
        <f>IF(A330="","",IF(COUNTIFS(A:A,A330,B:B,B330,F:F,F330)&gt;1,"⚠ Possible Duplicate",""))</f>
        <v/>
      </c>
      <c r="N330" s="10" t="n"/>
    </row>
    <row r="331">
      <c r="A331" s="10" t="n"/>
      <c r="B331" s="10" t="n"/>
      <c r="C331" s="10" t="n"/>
      <c r="D331" s="10" t="n"/>
      <c r="E331" s="10" t="n"/>
      <c r="F331" s="13" t="n"/>
      <c r="G331" s="10" t="n"/>
      <c r="H331" s="10" t="n"/>
      <c r="I331" s="10" t="n"/>
      <c r="J331" s="10" t="n"/>
      <c r="K331" s="10">
        <f>IF(A331="","",TEXT(A331,"yyyy-mm"))</f>
        <v/>
      </c>
      <c r="L331" s="10">
        <f>IF(A331="","",WEEKNUM(A331))</f>
        <v/>
      </c>
      <c r="M331" s="10">
        <f>IF(A331="","",IF(COUNTIFS(A:A,A331,B:B,B331,F:F,F331)&gt;1,"⚠ Possible Duplicate",""))</f>
        <v/>
      </c>
      <c r="N331" s="10" t="n"/>
    </row>
    <row r="332">
      <c r="A332" s="10" t="n"/>
      <c r="B332" s="10" t="n"/>
      <c r="C332" s="10" t="n"/>
      <c r="D332" s="10" t="n"/>
      <c r="E332" s="10" t="n"/>
      <c r="F332" s="13" t="n"/>
      <c r="G332" s="10" t="n"/>
      <c r="H332" s="10" t="n"/>
      <c r="I332" s="10" t="n"/>
      <c r="J332" s="10" t="n"/>
      <c r="K332" s="10">
        <f>IF(A332="","",TEXT(A332,"yyyy-mm"))</f>
        <v/>
      </c>
      <c r="L332" s="10">
        <f>IF(A332="","",WEEKNUM(A332))</f>
        <v/>
      </c>
      <c r="M332" s="10">
        <f>IF(A332="","",IF(COUNTIFS(A:A,A332,B:B,B332,F:F,F332)&gt;1,"⚠ Possible Duplicate",""))</f>
        <v/>
      </c>
      <c r="N332" s="10" t="n"/>
    </row>
    <row r="333">
      <c r="A333" s="10" t="n"/>
      <c r="B333" s="10" t="n"/>
      <c r="C333" s="10" t="n"/>
      <c r="D333" s="10" t="n"/>
      <c r="E333" s="10" t="n"/>
      <c r="F333" s="13" t="n"/>
      <c r="G333" s="10" t="n"/>
      <c r="H333" s="10" t="n"/>
      <c r="I333" s="10" t="n"/>
      <c r="J333" s="10" t="n"/>
      <c r="K333" s="10">
        <f>IF(A333="","",TEXT(A333,"yyyy-mm"))</f>
        <v/>
      </c>
      <c r="L333" s="10">
        <f>IF(A333="","",WEEKNUM(A333))</f>
        <v/>
      </c>
      <c r="M333" s="10">
        <f>IF(A333="","",IF(COUNTIFS(A:A,A333,B:B,B333,F:F,F333)&gt;1,"⚠ Possible Duplicate",""))</f>
        <v/>
      </c>
      <c r="N333" s="10" t="n"/>
    </row>
    <row r="334">
      <c r="A334" s="10" t="n"/>
      <c r="B334" s="10" t="n"/>
      <c r="C334" s="10" t="n"/>
      <c r="D334" s="10" t="n"/>
      <c r="E334" s="10" t="n"/>
      <c r="F334" s="13" t="n"/>
      <c r="G334" s="10" t="n"/>
      <c r="H334" s="10" t="n"/>
      <c r="I334" s="10" t="n"/>
      <c r="J334" s="10" t="n"/>
      <c r="K334" s="10">
        <f>IF(A334="","",TEXT(A334,"yyyy-mm"))</f>
        <v/>
      </c>
      <c r="L334" s="10">
        <f>IF(A334="","",WEEKNUM(A334))</f>
        <v/>
      </c>
      <c r="M334" s="10">
        <f>IF(A334="","",IF(COUNTIFS(A:A,A334,B:B,B334,F:F,F334)&gt;1,"⚠ Possible Duplicate",""))</f>
        <v/>
      </c>
      <c r="N334" s="10" t="n"/>
    </row>
    <row r="335">
      <c r="A335" s="10" t="n"/>
      <c r="B335" s="10" t="n"/>
      <c r="C335" s="10" t="n"/>
      <c r="D335" s="10" t="n"/>
      <c r="E335" s="10" t="n"/>
      <c r="F335" s="13" t="n"/>
      <c r="G335" s="10" t="n"/>
      <c r="H335" s="10" t="n"/>
      <c r="I335" s="10" t="n"/>
      <c r="J335" s="10" t="n"/>
      <c r="K335" s="10">
        <f>IF(A335="","",TEXT(A335,"yyyy-mm"))</f>
        <v/>
      </c>
      <c r="L335" s="10">
        <f>IF(A335="","",WEEKNUM(A335))</f>
        <v/>
      </c>
      <c r="M335" s="10">
        <f>IF(A335="","",IF(COUNTIFS(A:A,A335,B:B,B335,F:F,F335)&gt;1,"⚠ Possible Duplicate",""))</f>
        <v/>
      </c>
      <c r="N335" s="10" t="n"/>
    </row>
    <row r="336">
      <c r="A336" s="10" t="n"/>
      <c r="B336" s="10" t="n"/>
      <c r="C336" s="10" t="n"/>
      <c r="D336" s="10" t="n"/>
      <c r="E336" s="10" t="n"/>
      <c r="F336" s="13" t="n"/>
      <c r="G336" s="10" t="n"/>
      <c r="H336" s="10" t="n"/>
      <c r="I336" s="10" t="n"/>
      <c r="J336" s="10" t="n"/>
      <c r="K336" s="10">
        <f>IF(A336="","",TEXT(A336,"yyyy-mm"))</f>
        <v/>
      </c>
      <c r="L336" s="10">
        <f>IF(A336="","",WEEKNUM(A336))</f>
        <v/>
      </c>
      <c r="M336" s="10">
        <f>IF(A336="","",IF(COUNTIFS(A:A,A336,B:B,B336,F:F,F336)&gt;1,"⚠ Possible Duplicate",""))</f>
        <v/>
      </c>
      <c r="N336" s="10" t="n"/>
    </row>
    <row r="337">
      <c r="A337" s="10" t="n"/>
      <c r="B337" s="10" t="n"/>
      <c r="C337" s="10" t="n"/>
      <c r="D337" s="10" t="n"/>
      <c r="E337" s="10" t="n"/>
      <c r="F337" s="13" t="n"/>
      <c r="G337" s="10" t="n"/>
      <c r="H337" s="10" t="n"/>
      <c r="I337" s="10" t="n"/>
      <c r="J337" s="10" t="n"/>
      <c r="K337" s="10">
        <f>IF(A337="","",TEXT(A337,"yyyy-mm"))</f>
        <v/>
      </c>
      <c r="L337" s="10">
        <f>IF(A337="","",WEEKNUM(A337))</f>
        <v/>
      </c>
      <c r="M337" s="10">
        <f>IF(A337="","",IF(COUNTIFS(A:A,A337,B:B,B337,F:F,F337)&gt;1,"⚠ Possible Duplicate",""))</f>
        <v/>
      </c>
      <c r="N337" s="10" t="n"/>
    </row>
    <row r="338">
      <c r="A338" s="10" t="n"/>
      <c r="B338" s="10" t="n"/>
      <c r="C338" s="10" t="n"/>
      <c r="D338" s="10" t="n"/>
      <c r="E338" s="10" t="n"/>
      <c r="F338" s="13" t="n"/>
      <c r="G338" s="10" t="n"/>
      <c r="H338" s="10" t="n"/>
      <c r="I338" s="10" t="n"/>
      <c r="J338" s="10" t="n"/>
      <c r="K338" s="10">
        <f>IF(A338="","",TEXT(A338,"yyyy-mm"))</f>
        <v/>
      </c>
      <c r="L338" s="10">
        <f>IF(A338="","",WEEKNUM(A338))</f>
        <v/>
      </c>
      <c r="M338" s="10">
        <f>IF(A338="","",IF(COUNTIFS(A:A,A338,B:B,B338,F:F,F338)&gt;1,"⚠ Possible Duplicate",""))</f>
        <v/>
      </c>
      <c r="N338" s="10" t="n"/>
    </row>
    <row r="339">
      <c r="A339" s="10" t="n"/>
      <c r="B339" s="10" t="n"/>
      <c r="C339" s="10" t="n"/>
      <c r="D339" s="10" t="n"/>
      <c r="E339" s="10" t="n"/>
      <c r="F339" s="13" t="n"/>
      <c r="G339" s="10" t="n"/>
      <c r="H339" s="10" t="n"/>
      <c r="I339" s="10" t="n"/>
      <c r="J339" s="10" t="n"/>
      <c r="K339" s="10">
        <f>IF(A339="","",TEXT(A339,"yyyy-mm"))</f>
        <v/>
      </c>
      <c r="L339" s="10">
        <f>IF(A339="","",WEEKNUM(A339))</f>
        <v/>
      </c>
      <c r="M339" s="10">
        <f>IF(A339="","",IF(COUNTIFS(A:A,A339,B:B,B339,F:F,F339)&gt;1,"⚠ Possible Duplicate",""))</f>
        <v/>
      </c>
      <c r="N339" s="10" t="n"/>
    </row>
    <row r="340">
      <c r="A340" s="10" t="n"/>
      <c r="B340" s="10" t="n"/>
      <c r="C340" s="10" t="n"/>
      <c r="D340" s="10" t="n"/>
      <c r="E340" s="10" t="n"/>
      <c r="F340" s="13" t="n"/>
      <c r="G340" s="10" t="n"/>
      <c r="H340" s="10" t="n"/>
      <c r="I340" s="10" t="n"/>
      <c r="J340" s="10" t="n"/>
      <c r="K340" s="10">
        <f>IF(A340="","",TEXT(A340,"yyyy-mm"))</f>
        <v/>
      </c>
      <c r="L340" s="10">
        <f>IF(A340="","",WEEKNUM(A340))</f>
        <v/>
      </c>
      <c r="M340" s="10">
        <f>IF(A340="","",IF(COUNTIFS(A:A,A340,B:B,B340,F:F,F340)&gt;1,"⚠ Possible Duplicate",""))</f>
        <v/>
      </c>
      <c r="N340" s="10" t="n"/>
    </row>
    <row r="341">
      <c r="A341" s="10" t="n"/>
      <c r="B341" s="10" t="n"/>
      <c r="C341" s="10" t="n"/>
      <c r="D341" s="10" t="n"/>
      <c r="E341" s="10" t="n"/>
      <c r="F341" s="13" t="n"/>
      <c r="G341" s="10" t="n"/>
      <c r="H341" s="10" t="n"/>
      <c r="I341" s="10" t="n"/>
      <c r="J341" s="10" t="n"/>
      <c r="K341" s="10">
        <f>IF(A341="","",TEXT(A341,"yyyy-mm"))</f>
        <v/>
      </c>
      <c r="L341" s="10">
        <f>IF(A341="","",WEEKNUM(A341))</f>
        <v/>
      </c>
      <c r="M341" s="10">
        <f>IF(A341="","",IF(COUNTIFS(A:A,A341,B:B,B341,F:F,F341)&gt;1,"⚠ Possible Duplicate",""))</f>
        <v/>
      </c>
      <c r="N341" s="10" t="n"/>
    </row>
    <row r="342">
      <c r="A342" s="10" t="n"/>
      <c r="B342" s="10" t="n"/>
      <c r="C342" s="10" t="n"/>
      <c r="D342" s="10" t="n"/>
      <c r="E342" s="10" t="n"/>
      <c r="F342" s="13" t="n"/>
      <c r="G342" s="10" t="n"/>
      <c r="H342" s="10" t="n"/>
      <c r="I342" s="10" t="n"/>
      <c r="J342" s="10" t="n"/>
      <c r="K342" s="10">
        <f>IF(A342="","",TEXT(A342,"yyyy-mm"))</f>
        <v/>
      </c>
      <c r="L342" s="10">
        <f>IF(A342="","",WEEKNUM(A342))</f>
        <v/>
      </c>
      <c r="M342" s="10">
        <f>IF(A342="","",IF(COUNTIFS(A:A,A342,B:B,B342,F:F,F342)&gt;1,"⚠ Possible Duplicate",""))</f>
        <v/>
      </c>
      <c r="N342" s="10" t="n"/>
    </row>
    <row r="343">
      <c r="A343" s="10" t="n"/>
      <c r="B343" s="10" t="n"/>
      <c r="C343" s="10" t="n"/>
      <c r="D343" s="10" t="n"/>
      <c r="E343" s="10" t="n"/>
      <c r="F343" s="13" t="n"/>
      <c r="G343" s="10" t="n"/>
      <c r="H343" s="10" t="n"/>
      <c r="I343" s="10" t="n"/>
      <c r="J343" s="10" t="n"/>
      <c r="K343" s="10">
        <f>IF(A343="","",TEXT(A343,"yyyy-mm"))</f>
        <v/>
      </c>
      <c r="L343" s="10">
        <f>IF(A343="","",WEEKNUM(A343))</f>
        <v/>
      </c>
      <c r="M343" s="10">
        <f>IF(A343="","",IF(COUNTIFS(A:A,A343,B:B,B343,F:F,F343)&gt;1,"⚠ Possible Duplicate",""))</f>
        <v/>
      </c>
      <c r="N343" s="10" t="n"/>
    </row>
    <row r="344">
      <c r="A344" s="10" t="n"/>
      <c r="B344" s="10" t="n"/>
      <c r="C344" s="10" t="n"/>
      <c r="D344" s="10" t="n"/>
      <c r="E344" s="10" t="n"/>
      <c r="F344" s="13" t="n"/>
      <c r="G344" s="10" t="n"/>
      <c r="H344" s="10" t="n"/>
      <c r="I344" s="10" t="n"/>
      <c r="J344" s="10" t="n"/>
      <c r="K344" s="10">
        <f>IF(A344="","",TEXT(A344,"yyyy-mm"))</f>
        <v/>
      </c>
      <c r="L344" s="10">
        <f>IF(A344="","",WEEKNUM(A344))</f>
        <v/>
      </c>
      <c r="M344" s="10">
        <f>IF(A344="","",IF(COUNTIFS(A:A,A344,B:B,B344,F:F,F344)&gt;1,"⚠ Possible Duplicate",""))</f>
        <v/>
      </c>
      <c r="N344" s="10" t="n"/>
    </row>
    <row r="345">
      <c r="A345" s="10" t="n"/>
      <c r="B345" s="10" t="n"/>
      <c r="C345" s="10" t="n"/>
      <c r="D345" s="10" t="n"/>
      <c r="E345" s="10" t="n"/>
      <c r="F345" s="13" t="n"/>
      <c r="G345" s="10" t="n"/>
      <c r="H345" s="10" t="n"/>
      <c r="I345" s="10" t="n"/>
      <c r="J345" s="10" t="n"/>
      <c r="K345" s="10">
        <f>IF(A345="","",TEXT(A345,"yyyy-mm"))</f>
        <v/>
      </c>
      <c r="L345" s="10">
        <f>IF(A345="","",WEEKNUM(A345))</f>
        <v/>
      </c>
      <c r="M345" s="10">
        <f>IF(A345="","",IF(COUNTIFS(A:A,A345,B:B,B345,F:F,F345)&gt;1,"⚠ Possible Duplicate",""))</f>
        <v/>
      </c>
      <c r="N345" s="10" t="n"/>
    </row>
    <row r="346">
      <c r="A346" s="10" t="n"/>
      <c r="B346" s="10" t="n"/>
      <c r="C346" s="10" t="n"/>
      <c r="D346" s="10" t="n"/>
      <c r="E346" s="10" t="n"/>
      <c r="F346" s="13" t="n"/>
      <c r="G346" s="10" t="n"/>
      <c r="H346" s="10" t="n"/>
      <c r="I346" s="10" t="n"/>
      <c r="J346" s="10" t="n"/>
      <c r="K346" s="10">
        <f>IF(A346="","",TEXT(A346,"yyyy-mm"))</f>
        <v/>
      </c>
      <c r="L346" s="10">
        <f>IF(A346="","",WEEKNUM(A346))</f>
        <v/>
      </c>
      <c r="M346" s="10">
        <f>IF(A346="","",IF(COUNTIFS(A:A,A346,B:B,B346,F:F,F346)&gt;1,"⚠ Possible Duplicate",""))</f>
        <v/>
      </c>
      <c r="N346" s="10" t="n"/>
    </row>
    <row r="347">
      <c r="A347" s="10" t="n"/>
      <c r="B347" s="10" t="n"/>
      <c r="C347" s="10" t="n"/>
      <c r="D347" s="10" t="n"/>
      <c r="E347" s="10" t="n"/>
      <c r="F347" s="13" t="n"/>
      <c r="G347" s="10" t="n"/>
      <c r="H347" s="10" t="n"/>
      <c r="I347" s="10" t="n"/>
      <c r="J347" s="10" t="n"/>
      <c r="K347" s="10">
        <f>IF(A347="","",TEXT(A347,"yyyy-mm"))</f>
        <v/>
      </c>
      <c r="L347" s="10">
        <f>IF(A347="","",WEEKNUM(A347))</f>
        <v/>
      </c>
      <c r="M347" s="10">
        <f>IF(A347="","",IF(COUNTIFS(A:A,A347,B:B,B347,F:F,F347)&gt;1,"⚠ Possible Duplicate",""))</f>
        <v/>
      </c>
      <c r="N347" s="10" t="n"/>
    </row>
    <row r="348">
      <c r="A348" s="10" t="n"/>
      <c r="B348" s="10" t="n"/>
      <c r="C348" s="10" t="n"/>
      <c r="D348" s="10" t="n"/>
      <c r="E348" s="10" t="n"/>
      <c r="F348" s="13" t="n"/>
      <c r="G348" s="10" t="n"/>
      <c r="H348" s="10" t="n"/>
      <c r="I348" s="10" t="n"/>
      <c r="J348" s="10" t="n"/>
      <c r="K348" s="10">
        <f>IF(A348="","",TEXT(A348,"yyyy-mm"))</f>
        <v/>
      </c>
      <c r="L348" s="10">
        <f>IF(A348="","",WEEKNUM(A348))</f>
        <v/>
      </c>
      <c r="M348" s="10">
        <f>IF(A348="","",IF(COUNTIFS(A:A,A348,B:B,B348,F:F,F348)&gt;1,"⚠ Possible Duplicate",""))</f>
        <v/>
      </c>
      <c r="N348" s="10" t="n"/>
    </row>
    <row r="349">
      <c r="A349" s="10" t="n"/>
      <c r="B349" s="10" t="n"/>
      <c r="C349" s="10" t="n"/>
      <c r="D349" s="10" t="n"/>
      <c r="E349" s="10" t="n"/>
      <c r="F349" s="13" t="n"/>
      <c r="G349" s="10" t="n"/>
      <c r="H349" s="10" t="n"/>
      <c r="I349" s="10" t="n"/>
      <c r="J349" s="10" t="n"/>
      <c r="K349" s="10">
        <f>IF(A349="","",TEXT(A349,"yyyy-mm"))</f>
        <v/>
      </c>
      <c r="L349" s="10">
        <f>IF(A349="","",WEEKNUM(A349))</f>
        <v/>
      </c>
      <c r="M349" s="10">
        <f>IF(A349="","",IF(COUNTIFS(A:A,A349,B:B,B349,F:F,F349)&gt;1,"⚠ Possible Duplicate",""))</f>
        <v/>
      </c>
      <c r="N349" s="10" t="n"/>
    </row>
    <row r="350">
      <c r="A350" s="10" t="n"/>
      <c r="B350" s="10" t="n"/>
      <c r="C350" s="10" t="n"/>
      <c r="D350" s="10" t="n"/>
      <c r="E350" s="10" t="n"/>
      <c r="F350" s="13" t="n"/>
      <c r="G350" s="10" t="n"/>
      <c r="H350" s="10" t="n"/>
      <c r="I350" s="10" t="n"/>
      <c r="J350" s="10" t="n"/>
      <c r="K350" s="10">
        <f>IF(A350="","",TEXT(A350,"yyyy-mm"))</f>
        <v/>
      </c>
      <c r="L350" s="10">
        <f>IF(A350="","",WEEKNUM(A350))</f>
        <v/>
      </c>
      <c r="M350" s="10">
        <f>IF(A350="","",IF(COUNTIFS(A:A,A350,B:B,B350,F:F,F350)&gt;1,"⚠ Possible Duplicate",""))</f>
        <v/>
      </c>
      <c r="N350" s="10" t="n"/>
    </row>
    <row r="351">
      <c r="A351" s="10" t="n"/>
      <c r="B351" s="10" t="n"/>
      <c r="C351" s="10" t="n"/>
      <c r="D351" s="10" t="n"/>
      <c r="E351" s="10" t="n"/>
      <c r="F351" s="13" t="n"/>
      <c r="G351" s="10" t="n"/>
      <c r="H351" s="10" t="n"/>
      <c r="I351" s="10" t="n"/>
      <c r="J351" s="10" t="n"/>
      <c r="K351" s="10">
        <f>IF(A351="","",TEXT(A351,"yyyy-mm"))</f>
        <v/>
      </c>
      <c r="L351" s="10">
        <f>IF(A351="","",WEEKNUM(A351))</f>
        <v/>
      </c>
      <c r="M351" s="10">
        <f>IF(A351="","",IF(COUNTIFS(A:A,A351,B:B,B351,F:F,F351)&gt;1,"⚠ Possible Duplicate",""))</f>
        <v/>
      </c>
      <c r="N351" s="10" t="n"/>
    </row>
    <row r="352">
      <c r="A352" s="10" t="n"/>
      <c r="B352" s="10" t="n"/>
      <c r="C352" s="10" t="n"/>
      <c r="D352" s="10" t="n"/>
      <c r="E352" s="10" t="n"/>
      <c r="F352" s="13" t="n"/>
      <c r="G352" s="10" t="n"/>
      <c r="H352" s="10" t="n"/>
      <c r="I352" s="10" t="n"/>
      <c r="J352" s="10" t="n"/>
      <c r="K352" s="10">
        <f>IF(A352="","",TEXT(A352,"yyyy-mm"))</f>
        <v/>
      </c>
      <c r="L352" s="10">
        <f>IF(A352="","",WEEKNUM(A352))</f>
        <v/>
      </c>
      <c r="M352" s="10">
        <f>IF(A352="","",IF(COUNTIFS(A:A,A352,B:B,B352,F:F,F352)&gt;1,"⚠ Possible Duplicate",""))</f>
        <v/>
      </c>
      <c r="N352" s="10" t="n"/>
    </row>
    <row r="353">
      <c r="A353" s="10" t="n"/>
      <c r="B353" s="10" t="n"/>
      <c r="C353" s="10" t="n"/>
      <c r="D353" s="10" t="n"/>
      <c r="E353" s="10" t="n"/>
      <c r="F353" s="13" t="n"/>
      <c r="G353" s="10" t="n"/>
      <c r="H353" s="10" t="n"/>
      <c r="I353" s="10" t="n"/>
      <c r="J353" s="10" t="n"/>
      <c r="K353" s="10">
        <f>IF(A353="","",TEXT(A353,"yyyy-mm"))</f>
        <v/>
      </c>
      <c r="L353" s="10">
        <f>IF(A353="","",WEEKNUM(A353))</f>
        <v/>
      </c>
      <c r="M353" s="10">
        <f>IF(A353="","",IF(COUNTIFS(A:A,A353,B:B,B353,F:F,F353)&gt;1,"⚠ Possible Duplicate",""))</f>
        <v/>
      </c>
      <c r="N353" s="10" t="n"/>
    </row>
    <row r="354">
      <c r="A354" s="10" t="n"/>
      <c r="B354" s="10" t="n"/>
      <c r="C354" s="10" t="n"/>
      <c r="D354" s="10" t="n"/>
      <c r="E354" s="10" t="n"/>
      <c r="F354" s="13" t="n"/>
      <c r="G354" s="10" t="n"/>
      <c r="H354" s="10" t="n"/>
      <c r="I354" s="10" t="n"/>
      <c r="J354" s="10" t="n"/>
      <c r="K354" s="10">
        <f>IF(A354="","",TEXT(A354,"yyyy-mm"))</f>
        <v/>
      </c>
      <c r="L354" s="10">
        <f>IF(A354="","",WEEKNUM(A354))</f>
        <v/>
      </c>
      <c r="M354" s="10">
        <f>IF(A354="","",IF(COUNTIFS(A:A,A354,B:B,B354,F:F,F354)&gt;1,"⚠ Possible Duplicate",""))</f>
        <v/>
      </c>
      <c r="N354" s="10" t="n"/>
    </row>
    <row r="355">
      <c r="A355" s="10" t="n"/>
      <c r="B355" s="10" t="n"/>
      <c r="C355" s="10" t="n"/>
      <c r="D355" s="10" t="n"/>
      <c r="E355" s="10" t="n"/>
      <c r="F355" s="13" t="n"/>
      <c r="G355" s="10" t="n"/>
      <c r="H355" s="10" t="n"/>
      <c r="I355" s="10" t="n"/>
      <c r="J355" s="10" t="n"/>
      <c r="K355" s="10">
        <f>IF(A355="","",TEXT(A355,"yyyy-mm"))</f>
        <v/>
      </c>
      <c r="L355" s="10">
        <f>IF(A355="","",WEEKNUM(A355))</f>
        <v/>
      </c>
      <c r="M355" s="10">
        <f>IF(A355="","",IF(COUNTIFS(A:A,A355,B:B,B355,F:F,F355)&gt;1,"⚠ Possible Duplicate",""))</f>
        <v/>
      </c>
      <c r="N355" s="10" t="n"/>
    </row>
    <row r="356">
      <c r="A356" s="10" t="n"/>
      <c r="B356" s="10" t="n"/>
      <c r="C356" s="10" t="n"/>
      <c r="D356" s="10" t="n"/>
      <c r="E356" s="10" t="n"/>
      <c r="F356" s="13" t="n"/>
      <c r="G356" s="10" t="n"/>
      <c r="H356" s="10" t="n"/>
      <c r="I356" s="10" t="n"/>
      <c r="J356" s="10" t="n"/>
      <c r="K356" s="10">
        <f>IF(A356="","",TEXT(A356,"yyyy-mm"))</f>
        <v/>
      </c>
      <c r="L356" s="10">
        <f>IF(A356="","",WEEKNUM(A356))</f>
        <v/>
      </c>
      <c r="M356" s="10">
        <f>IF(A356="","",IF(COUNTIFS(A:A,A356,B:B,B356,F:F,F356)&gt;1,"⚠ Possible Duplicate",""))</f>
        <v/>
      </c>
      <c r="N356" s="10" t="n"/>
    </row>
    <row r="357">
      <c r="A357" s="10" t="n"/>
      <c r="B357" s="10" t="n"/>
      <c r="C357" s="10" t="n"/>
      <c r="D357" s="10" t="n"/>
      <c r="E357" s="10" t="n"/>
      <c r="F357" s="13" t="n"/>
      <c r="G357" s="10" t="n"/>
      <c r="H357" s="10" t="n"/>
      <c r="I357" s="10" t="n"/>
      <c r="J357" s="10" t="n"/>
      <c r="K357" s="10">
        <f>IF(A357="","",TEXT(A357,"yyyy-mm"))</f>
        <v/>
      </c>
      <c r="L357" s="10">
        <f>IF(A357="","",WEEKNUM(A357))</f>
        <v/>
      </c>
      <c r="M357" s="10">
        <f>IF(A357="","",IF(COUNTIFS(A:A,A357,B:B,B357,F:F,F357)&gt;1,"⚠ Possible Duplicate",""))</f>
        <v/>
      </c>
      <c r="N357" s="10" t="n"/>
    </row>
    <row r="358">
      <c r="A358" s="10" t="n"/>
      <c r="B358" s="10" t="n"/>
      <c r="C358" s="10" t="n"/>
      <c r="D358" s="10" t="n"/>
      <c r="E358" s="10" t="n"/>
      <c r="F358" s="13" t="n"/>
      <c r="G358" s="10" t="n"/>
      <c r="H358" s="10" t="n"/>
      <c r="I358" s="10" t="n"/>
      <c r="J358" s="10" t="n"/>
      <c r="K358" s="10">
        <f>IF(A358="","",TEXT(A358,"yyyy-mm"))</f>
        <v/>
      </c>
      <c r="L358" s="10">
        <f>IF(A358="","",WEEKNUM(A358))</f>
        <v/>
      </c>
      <c r="M358" s="10">
        <f>IF(A358="","",IF(COUNTIFS(A:A,A358,B:B,B358,F:F,F358)&gt;1,"⚠ Possible Duplicate",""))</f>
        <v/>
      </c>
      <c r="N358" s="10" t="n"/>
    </row>
    <row r="359">
      <c r="A359" s="10" t="n"/>
      <c r="B359" s="10" t="n"/>
      <c r="C359" s="10" t="n"/>
      <c r="D359" s="10" t="n"/>
      <c r="E359" s="10" t="n"/>
      <c r="F359" s="13" t="n"/>
      <c r="G359" s="10" t="n"/>
      <c r="H359" s="10" t="n"/>
      <c r="I359" s="10" t="n"/>
      <c r="J359" s="10" t="n"/>
      <c r="K359" s="10">
        <f>IF(A359="","",TEXT(A359,"yyyy-mm"))</f>
        <v/>
      </c>
      <c r="L359" s="10">
        <f>IF(A359="","",WEEKNUM(A359))</f>
        <v/>
      </c>
      <c r="M359" s="10">
        <f>IF(A359="","",IF(COUNTIFS(A:A,A359,B:B,B359,F:F,F359)&gt;1,"⚠ Possible Duplicate",""))</f>
        <v/>
      </c>
      <c r="N359" s="10" t="n"/>
    </row>
    <row r="360">
      <c r="A360" s="10" t="n"/>
      <c r="B360" s="10" t="n"/>
      <c r="C360" s="10" t="n"/>
      <c r="D360" s="10" t="n"/>
      <c r="E360" s="10" t="n"/>
      <c r="F360" s="13" t="n"/>
      <c r="G360" s="10" t="n"/>
      <c r="H360" s="10" t="n"/>
      <c r="I360" s="10" t="n"/>
      <c r="J360" s="10" t="n"/>
      <c r="K360" s="10">
        <f>IF(A360="","",TEXT(A360,"yyyy-mm"))</f>
        <v/>
      </c>
      <c r="L360" s="10">
        <f>IF(A360="","",WEEKNUM(A360))</f>
        <v/>
      </c>
      <c r="M360" s="10">
        <f>IF(A360="","",IF(COUNTIFS(A:A,A360,B:B,B360,F:F,F360)&gt;1,"⚠ Possible Duplicate",""))</f>
        <v/>
      </c>
      <c r="N360" s="10" t="n"/>
    </row>
    <row r="361">
      <c r="A361" s="10" t="n"/>
      <c r="B361" s="10" t="n"/>
      <c r="C361" s="10" t="n"/>
      <c r="D361" s="10" t="n"/>
      <c r="E361" s="10" t="n"/>
      <c r="F361" s="13" t="n"/>
      <c r="G361" s="10" t="n"/>
      <c r="H361" s="10" t="n"/>
      <c r="I361" s="10" t="n"/>
      <c r="J361" s="10" t="n"/>
      <c r="K361" s="10">
        <f>IF(A361="","",TEXT(A361,"yyyy-mm"))</f>
        <v/>
      </c>
      <c r="L361" s="10">
        <f>IF(A361="","",WEEKNUM(A361))</f>
        <v/>
      </c>
      <c r="M361" s="10">
        <f>IF(A361="","",IF(COUNTIFS(A:A,A361,B:B,B361,F:F,F361)&gt;1,"⚠ Possible Duplicate",""))</f>
        <v/>
      </c>
      <c r="N361" s="10" t="n"/>
    </row>
    <row r="362">
      <c r="A362" s="10" t="n"/>
      <c r="B362" s="10" t="n"/>
      <c r="C362" s="10" t="n"/>
      <c r="D362" s="10" t="n"/>
      <c r="E362" s="10" t="n"/>
      <c r="F362" s="13" t="n"/>
      <c r="G362" s="10" t="n"/>
      <c r="H362" s="10" t="n"/>
      <c r="I362" s="10" t="n"/>
      <c r="J362" s="10" t="n"/>
      <c r="K362" s="10">
        <f>IF(A362="","",TEXT(A362,"yyyy-mm"))</f>
        <v/>
      </c>
      <c r="L362" s="10">
        <f>IF(A362="","",WEEKNUM(A362))</f>
        <v/>
      </c>
      <c r="M362" s="10">
        <f>IF(A362="","",IF(COUNTIFS(A:A,A362,B:B,B362,F:F,F362)&gt;1,"⚠ Possible Duplicate",""))</f>
        <v/>
      </c>
      <c r="N362" s="10" t="n"/>
    </row>
    <row r="363">
      <c r="A363" s="10" t="n"/>
      <c r="B363" s="10" t="n"/>
      <c r="C363" s="10" t="n"/>
      <c r="D363" s="10" t="n"/>
      <c r="E363" s="10" t="n"/>
      <c r="F363" s="13" t="n"/>
      <c r="G363" s="10" t="n"/>
      <c r="H363" s="10" t="n"/>
      <c r="I363" s="10" t="n"/>
      <c r="J363" s="10" t="n"/>
      <c r="K363" s="10">
        <f>IF(A363="","",TEXT(A363,"yyyy-mm"))</f>
        <v/>
      </c>
      <c r="L363" s="10">
        <f>IF(A363="","",WEEKNUM(A363))</f>
        <v/>
      </c>
      <c r="M363" s="10">
        <f>IF(A363="","",IF(COUNTIFS(A:A,A363,B:B,B363,F:F,F363)&gt;1,"⚠ Possible Duplicate",""))</f>
        <v/>
      </c>
      <c r="N363" s="10" t="n"/>
    </row>
    <row r="364">
      <c r="A364" s="10" t="n"/>
      <c r="B364" s="10" t="n"/>
      <c r="C364" s="10" t="n"/>
      <c r="D364" s="10" t="n"/>
      <c r="E364" s="10" t="n"/>
      <c r="F364" s="13" t="n"/>
      <c r="G364" s="10" t="n"/>
      <c r="H364" s="10" t="n"/>
      <c r="I364" s="10" t="n"/>
      <c r="J364" s="10" t="n"/>
      <c r="K364" s="10">
        <f>IF(A364="","",TEXT(A364,"yyyy-mm"))</f>
        <v/>
      </c>
      <c r="L364" s="10">
        <f>IF(A364="","",WEEKNUM(A364))</f>
        <v/>
      </c>
      <c r="M364" s="10">
        <f>IF(A364="","",IF(COUNTIFS(A:A,A364,B:B,B364,F:F,F364)&gt;1,"⚠ Possible Duplicate",""))</f>
        <v/>
      </c>
      <c r="N364" s="10" t="n"/>
    </row>
    <row r="365">
      <c r="A365" s="10" t="n"/>
      <c r="B365" s="10" t="n"/>
      <c r="C365" s="10" t="n"/>
      <c r="D365" s="10" t="n"/>
      <c r="E365" s="10" t="n"/>
      <c r="F365" s="13" t="n"/>
      <c r="G365" s="10" t="n"/>
      <c r="H365" s="10" t="n"/>
      <c r="I365" s="10" t="n"/>
      <c r="J365" s="10" t="n"/>
      <c r="K365" s="10">
        <f>IF(A365="","",TEXT(A365,"yyyy-mm"))</f>
        <v/>
      </c>
      <c r="L365" s="10">
        <f>IF(A365="","",WEEKNUM(A365))</f>
        <v/>
      </c>
      <c r="M365" s="10">
        <f>IF(A365="","",IF(COUNTIFS(A:A,A365,B:B,B365,F:F,F365)&gt;1,"⚠ Possible Duplicate",""))</f>
        <v/>
      </c>
      <c r="N365" s="10" t="n"/>
    </row>
    <row r="366">
      <c r="A366" s="10" t="n"/>
      <c r="B366" s="10" t="n"/>
      <c r="C366" s="10" t="n"/>
      <c r="D366" s="10" t="n"/>
      <c r="E366" s="10" t="n"/>
      <c r="F366" s="13" t="n"/>
      <c r="G366" s="10" t="n"/>
      <c r="H366" s="10" t="n"/>
      <c r="I366" s="10" t="n"/>
      <c r="J366" s="10" t="n"/>
      <c r="K366" s="10">
        <f>IF(A366="","",TEXT(A366,"yyyy-mm"))</f>
        <v/>
      </c>
      <c r="L366" s="10">
        <f>IF(A366="","",WEEKNUM(A366))</f>
        <v/>
      </c>
      <c r="M366" s="10">
        <f>IF(A366="","",IF(COUNTIFS(A:A,A366,B:B,B366,F:F,F366)&gt;1,"⚠ Possible Duplicate",""))</f>
        <v/>
      </c>
      <c r="N366" s="10" t="n"/>
    </row>
    <row r="367">
      <c r="A367" s="10" t="n"/>
      <c r="B367" s="10" t="n"/>
      <c r="C367" s="10" t="n"/>
      <c r="D367" s="10" t="n"/>
      <c r="E367" s="10" t="n"/>
      <c r="F367" s="13" t="n"/>
      <c r="G367" s="10" t="n"/>
      <c r="H367" s="10" t="n"/>
      <c r="I367" s="10" t="n"/>
      <c r="J367" s="10" t="n"/>
      <c r="K367" s="10">
        <f>IF(A367="","",TEXT(A367,"yyyy-mm"))</f>
        <v/>
      </c>
      <c r="L367" s="10">
        <f>IF(A367="","",WEEKNUM(A367))</f>
        <v/>
      </c>
      <c r="M367" s="10">
        <f>IF(A367="","",IF(COUNTIFS(A:A,A367,B:B,B367,F:F,F367)&gt;1,"⚠ Possible Duplicate",""))</f>
        <v/>
      </c>
      <c r="N367" s="10" t="n"/>
    </row>
    <row r="368">
      <c r="A368" s="10" t="n"/>
      <c r="B368" s="10" t="n"/>
      <c r="C368" s="10" t="n"/>
      <c r="D368" s="10" t="n"/>
      <c r="E368" s="10" t="n"/>
      <c r="F368" s="13" t="n"/>
      <c r="G368" s="10" t="n"/>
      <c r="H368" s="10" t="n"/>
      <c r="I368" s="10" t="n"/>
      <c r="J368" s="10" t="n"/>
      <c r="K368" s="10">
        <f>IF(A368="","",TEXT(A368,"yyyy-mm"))</f>
        <v/>
      </c>
      <c r="L368" s="10">
        <f>IF(A368="","",WEEKNUM(A368))</f>
        <v/>
      </c>
      <c r="M368" s="10">
        <f>IF(A368="","",IF(COUNTIFS(A:A,A368,B:B,B368,F:F,F368)&gt;1,"⚠ Possible Duplicate",""))</f>
        <v/>
      </c>
      <c r="N368" s="10" t="n"/>
    </row>
    <row r="369">
      <c r="A369" s="10" t="n"/>
      <c r="B369" s="10" t="n"/>
      <c r="C369" s="10" t="n"/>
      <c r="D369" s="10" t="n"/>
      <c r="E369" s="10" t="n"/>
      <c r="F369" s="13" t="n"/>
      <c r="G369" s="10" t="n"/>
      <c r="H369" s="10" t="n"/>
      <c r="I369" s="10" t="n"/>
      <c r="J369" s="10" t="n"/>
      <c r="K369" s="10">
        <f>IF(A369="","",TEXT(A369,"yyyy-mm"))</f>
        <v/>
      </c>
      <c r="L369" s="10">
        <f>IF(A369="","",WEEKNUM(A369))</f>
        <v/>
      </c>
      <c r="M369" s="10">
        <f>IF(A369="","",IF(COUNTIFS(A:A,A369,B:B,B369,F:F,F369)&gt;1,"⚠ Possible Duplicate",""))</f>
        <v/>
      </c>
      <c r="N369" s="10" t="n"/>
    </row>
    <row r="370">
      <c r="A370" s="10" t="n"/>
      <c r="B370" s="10" t="n"/>
      <c r="C370" s="10" t="n"/>
      <c r="D370" s="10" t="n"/>
      <c r="E370" s="10" t="n"/>
      <c r="F370" s="13" t="n"/>
      <c r="G370" s="10" t="n"/>
      <c r="H370" s="10" t="n"/>
      <c r="I370" s="10" t="n"/>
      <c r="J370" s="10" t="n"/>
      <c r="K370" s="10">
        <f>IF(A370="","",TEXT(A370,"yyyy-mm"))</f>
        <v/>
      </c>
      <c r="L370" s="10">
        <f>IF(A370="","",WEEKNUM(A370))</f>
        <v/>
      </c>
      <c r="M370" s="10">
        <f>IF(A370="","",IF(COUNTIFS(A:A,A370,B:B,B370,F:F,F370)&gt;1,"⚠ Possible Duplicate",""))</f>
        <v/>
      </c>
      <c r="N370" s="10" t="n"/>
    </row>
    <row r="371">
      <c r="A371" s="10" t="n"/>
      <c r="B371" s="10" t="n"/>
      <c r="C371" s="10" t="n"/>
      <c r="D371" s="10" t="n"/>
      <c r="E371" s="10" t="n"/>
      <c r="F371" s="13" t="n"/>
      <c r="G371" s="10" t="n"/>
      <c r="H371" s="10" t="n"/>
      <c r="I371" s="10" t="n"/>
      <c r="J371" s="10" t="n"/>
      <c r="K371" s="10">
        <f>IF(A371="","",TEXT(A371,"yyyy-mm"))</f>
        <v/>
      </c>
      <c r="L371" s="10">
        <f>IF(A371="","",WEEKNUM(A371))</f>
        <v/>
      </c>
      <c r="M371" s="10">
        <f>IF(A371="","",IF(COUNTIFS(A:A,A371,B:B,B371,F:F,F371)&gt;1,"⚠ Possible Duplicate",""))</f>
        <v/>
      </c>
      <c r="N371" s="10" t="n"/>
    </row>
    <row r="372">
      <c r="A372" s="10" t="n"/>
      <c r="B372" s="10" t="n"/>
      <c r="C372" s="10" t="n"/>
      <c r="D372" s="10" t="n"/>
      <c r="E372" s="10" t="n"/>
      <c r="F372" s="13" t="n"/>
      <c r="G372" s="10" t="n"/>
      <c r="H372" s="10" t="n"/>
      <c r="I372" s="10" t="n"/>
      <c r="J372" s="10" t="n"/>
      <c r="K372" s="10">
        <f>IF(A372="","",TEXT(A372,"yyyy-mm"))</f>
        <v/>
      </c>
      <c r="L372" s="10">
        <f>IF(A372="","",WEEKNUM(A372))</f>
        <v/>
      </c>
      <c r="M372" s="10">
        <f>IF(A372="","",IF(COUNTIFS(A:A,A372,B:B,B372,F:F,F372)&gt;1,"⚠ Possible Duplicate",""))</f>
        <v/>
      </c>
      <c r="N372" s="10" t="n"/>
    </row>
    <row r="373">
      <c r="A373" s="10" t="n"/>
      <c r="B373" s="10" t="n"/>
      <c r="C373" s="10" t="n"/>
      <c r="D373" s="10" t="n"/>
      <c r="E373" s="10" t="n"/>
      <c r="F373" s="13" t="n"/>
      <c r="G373" s="10" t="n"/>
      <c r="H373" s="10" t="n"/>
      <c r="I373" s="10" t="n"/>
      <c r="J373" s="10" t="n"/>
      <c r="K373" s="10">
        <f>IF(A373="","",TEXT(A373,"yyyy-mm"))</f>
        <v/>
      </c>
      <c r="L373" s="10">
        <f>IF(A373="","",WEEKNUM(A373))</f>
        <v/>
      </c>
      <c r="M373" s="10">
        <f>IF(A373="","",IF(COUNTIFS(A:A,A373,B:B,B373,F:F,F373)&gt;1,"⚠ Possible Duplicate",""))</f>
        <v/>
      </c>
      <c r="N373" s="10" t="n"/>
    </row>
    <row r="374">
      <c r="A374" s="10" t="n"/>
      <c r="B374" s="10" t="n"/>
      <c r="C374" s="10" t="n"/>
      <c r="D374" s="10" t="n"/>
      <c r="E374" s="10" t="n"/>
      <c r="F374" s="13" t="n"/>
      <c r="G374" s="10" t="n"/>
      <c r="H374" s="10" t="n"/>
      <c r="I374" s="10" t="n"/>
      <c r="J374" s="10" t="n"/>
      <c r="K374" s="10">
        <f>IF(A374="","",TEXT(A374,"yyyy-mm"))</f>
        <v/>
      </c>
      <c r="L374" s="10">
        <f>IF(A374="","",WEEKNUM(A374))</f>
        <v/>
      </c>
      <c r="M374" s="10">
        <f>IF(A374="","",IF(COUNTIFS(A:A,A374,B:B,B374,F:F,F374)&gt;1,"⚠ Possible Duplicate",""))</f>
        <v/>
      </c>
      <c r="N374" s="10" t="n"/>
    </row>
    <row r="375">
      <c r="A375" s="10" t="n"/>
      <c r="B375" s="10" t="n"/>
      <c r="C375" s="10" t="n"/>
      <c r="D375" s="10" t="n"/>
      <c r="E375" s="10" t="n"/>
      <c r="F375" s="13" t="n"/>
      <c r="G375" s="10" t="n"/>
      <c r="H375" s="10" t="n"/>
      <c r="I375" s="10" t="n"/>
      <c r="J375" s="10" t="n"/>
      <c r="K375" s="10">
        <f>IF(A375="","",TEXT(A375,"yyyy-mm"))</f>
        <v/>
      </c>
      <c r="L375" s="10">
        <f>IF(A375="","",WEEKNUM(A375))</f>
        <v/>
      </c>
      <c r="M375" s="10">
        <f>IF(A375="","",IF(COUNTIFS(A:A,A375,B:B,B375,F:F,F375)&gt;1,"⚠ Possible Duplicate",""))</f>
        <v/>
      </c>
      <c r="N375" s="10" t="n"/>
    </row>
    <row r="376">
      <c r="A376" s="10" t="n"/>
      <c r="B376" s="10" t="n"/>
      <c r="C376" s="10" t="n"/>
      <c r="D376" s="10" t="n"/>
      <c r="E376" s="10" t="n"/>
      <c r="F376" s="13" t="n"/>
      <c r="G376" s="10" t="n"/>
      <c r="H376" s="10" t="n"/>
      <c r="I376" s="10" t="n"/>
      <c r="J376" s="10" t="n"/>
      <c r="K376" s="10">
        <f>IF(A376="","",TEXT(A376,"yyyy-mm"))</f>
        <v/>
      </c>
      <c r="L376" s="10">
        <f>IF(A376="","",WEEKNUM(A376))</f>
        <v/>
      </c>
      <c r="M376" s="10">
        <f>IF(A376="","",IF(COUNTIFS(A:A,A376,B:B,B376,F:F,F376)&gt;1,"⚠ Possible Duplicate",""))</f>
        <v/>
      </c>
      <c r="N376" s="10" t="n"/>
    </row>
    <row r="377">
      <c r="A377" s="10" t="n"/>
      <c r="B377" s="10" t="n"/>
      <c r="C377" s="10" t="n"/>
      <c r="D377" s="10" t="n"/>
      <c r="E377" s="10" t="n"/>
      <c r="F377" s="13" t="n"/>
      <c r="G377" s="10" t="n"/>
      <c r="H377" s="10" t="n"/>
      <c r="I377" s="10" t="n"/>
      <c r="J377" s="10" t="n"/>
      <c r="K377" s="10">
        <f>IF(A377="","",TEXT(A377,"yyyy-mm"))</f>
        <v/>
      </c>
      <c r="L377" s="10">
        <f>IF(A377="","",WEEKNUM(A377))</f>
        <v/>
      </c>
      <c r="M377" s="10">
        <f>IF(A377="","",IF(COUNTIFS(A:A,A377,B:B,B377,F:F,F377)&gt;1,"⚠ Possible Duplicate",""))</f>
        <v/>
      </c>
      <c r="N377" s="10" t="n"/>
    </row>
    <row r="378">
      <c r="A378" s="10" t="n"/>
      <c r="B378" s="10" t="n"/>
      <c r="C378" s="10" t="n"/>
      <c r="D378" s="10" t="n"/>
      <c r="E378" s="10" t="n"/>
      <c r="F378" s="13" t="n"/>
      <c r="G378" s="10" t="n"/>
      <c r="H378" s="10" t="n"/>
      <c r="I378" s="10" t="n"/>
      <c r="J378" s="10" t="n"/>
      <c r="K378" s="10">
        <f>IF(A378="","",TEXT(A378,"yyyy-mm"))</f>
        <v/>
      </c>
      <c r="L378" s="10">
        <f>IF(A378="","",WEEKNUM(A378))</f>
        <v/>
      </c>
      <c r="M378" s="10">
        <f>IF(A378="","",IF(COUNTIFS(A:A,A378,B:B,B378,F:F,F378)&gt;1,"⚠ Possible Duplicate",""))</f>
        <v/>
      </c>
      <c r="N378" s="10" t="n"/>
    </row>
    <row r="379">
      <c r="A379" s="10" t="n"/>
      <c r="B379" s="10" t="n"/>
      <c r="C379" s="10" t="n"/>
      <c r="D379" s="10" t="n"/>
      <c r="E379" s="10" t="n"/>
      <c r="F379" s="13" t="n"/>
      <c r="G379" s="10" t="n"/>
      <c r="H379" s="10" t="n"/>
      <c r="I379" s="10" t="n"/>
      <c r="J379" s="10" t="n"/>
      <c r="K379" s="10">
        <f>IF(A379="","",TEXT(A379,"yyyy-mm"))</f>
        <v/>
      </c>
      <c r="L379" s="10">
        <f>IF(A379="","",WEEKNUM(A379))</f>
        <v/>
      </c>
      <c r="M379" s="10">
        <f>IF(A379="","",IF(COUNTIFS(A:A,A379,B:B,B379,F:F,F379)&gt;1,"⚠ Possible Duplicate",""))</f>
        <v/>
      </c>
      <c r="N379" s="10" t="n"/>
    </row>
    <row r="380">
      <c r="A380" s="10" t="n"/>
      <c r="B380" s="10" t="n"/>
      <c r="C380" s="10" t="n"/>
      <c r="D380" s="10" t="n"/>
      <c r="E380" s="10" t="n"/>
      <c r="F380" s="13" t="n"/>
      <c r="G380" s="10" t="n"/>
      <c r="H380" s="10" t="n"/>
      <c r="I380" s="10" t="n"/>
      <c r="J380" s="10" t="n"/>
      <c r="K380" s="10">
        <f>IF(A380="","",TEXT(A380,"yyyy-mm"))</f>
        <v/>
      </c>
      <c r="L380" s="10">
        <f>IF(A380="","",WEEKNUM(A380))</f>
        <v/>
      </c>
      <c r="M380" s="10">
        <f>IF(A380="","",IF(COUNTIFS(A:A,A380,B:B,B380,F:F,F380)&gt;1,"⚠ Possible Duplicate",""))</f>
        <v/>
      </c>
      <c r="N380" s="10" t="n"/>
    </row>
    <row r="381">
      <c r="A381" s="10" t="n"/>
      <c r="B381" s="10" t="n"/>
      <c r="C381" s="10" t="n"/>
      <c r="D381" s="10" t="n"/>
      <c r="E381" s="10" t="n"/>
      <c r="F381" s="13" t="n"/>
      <c r="G381" s="10" t="n"/>
      <c r="H381" s="10" t="n"/>
      <c r="I381" s="10" t="n"/>
      <c r="J381" s="10" t="n"/>
      <c r="K381" s="10">
        <f>IF(A381="","",TEXT(A381,"yyyy-mm"))</f>
        <v/>
      </c>
      <c r="L381" s="10">
        <f>IF(A381="","",WEEKNUM(A381))</f>
        <v/>
      </c>
      <c r="M381" s="10">
        <f>IF(A381="","",IF(COUNTIFS(A:A,A381,B:B,B381,F:F,F381)&gt;1,"⚠ Possible Duplicate",""))</f>
        <v/>
      </c>
      <c r="N381" s="10" t="n"/>
    </row>
    <row r="382">
      <c r="A382" s="10" t="n"/>
      <c r="B382" s="10" t="n"/>
      <c r="C382" s="10" t="n"/>
      <c r="D382" s="10" t="n"/>
      <c r="E382" s="10" t="n"/>
      <c r="F382" s="13" t="n"/>
      <c r="G382" s="10" t="n"/>
      <c r="H382" s="10" t="n"/>
      <c r="I382" s="10" t="n"/>
      <c r="J382" s="10" t="n"/>
      <c r="K382" s="10">
        <f>IF(A382="","",TEXT(A382,"yyyy-mm"))</f>
        <v/>
      </c>
      <c r="L382" s="10">
        <f>IF(A382="","",WEEKNUM(A382))</f>
        <v/>
      </c>
      <c r="M382" s="10">
        <f>IF(A382="","",IF(COUNTIFS(A:A,A382,B:B,B382,F:F,F382)&gt;1,"⚠ Possible Duplicate",""))</f>
        <v/>
      </c>
      <c r="N382" s="10" t="n"/>
    </row>
    <row r="383">
      <c r="A383" s="10" t="n"/>
      <c r="B383" s="10" t="n"/>
      <c r="C383" s="10" t="n"/>
      <c r="D383" s="10" t="n"/>
      <c r="E383" s="10" t="n"/>
      <c r="F383" s="13" t="n"/>
      <c r="G383" s="10" t="n"/>
      <c r="H383" s="10" t="n"/>
      <c r="I383" s="10" t="n"/>
      <c r="J383" s="10" t="n"/>
      <c r="K383" s="10">
        <f>IF(A383="","",TEXT(A383,"yyyy-mm"))</f>
        <v/>
      </c>
      <c r="L383" s="10">
        <f>IF(A383="","",WEEKNUM(A383))</f>
        <v/>
      </c>
      <c r="M383" s="10">
        <f>IF(A383="","",IF(COUNTIFS(A:A,A383,B:B,B383,F:F,F383)&gt;1,"⚠ Possible Duplicate",""))</f>
        <v/>
      </c>
      <c r="N383" s="10" t="n"/>
    </row>
    <row r="384">
      <c r="A384" s="10" t="n"/>
      <c r="B384" s="10" t="n"/>
      <c r="C384" s="10" t="n"/>
      <c r="D384" s="10" t="n"/>
      <c r="E384" s="10" t="n"/>
      <c r="F384" s="13" t="n"/>
      <c r="G384" s="10" t="n"/>
      <c r="H384" s="10" t="n"/>
      <c r="I384" s="10" t="n"/>
      <c r="J384" s="10" t="n"/>
      <c r="K384" s="10">
        <f>IF(A384="","",TEXT(A384,"yyyy-mm"))</f>
        <v/>
      </c>
      <c r="L384" s="10">
        <f>IF(A384="","",WEEKNUM(A384))</f>
        <v/>
      </c>
      <c r="M384" s="10">
        <f>IF(A384="","",IF(COUNTIFS(A:A,A384,B:B,B384,F:F,F384)&gt;1,"⚠ Possible Duplicate",""))</f>
        <v/>
      </c>
      <c r="N384" s="10" t="n"/>
    </row>
    <row r="385">
      <c r="A385" s="10" t="n"/>
      <c r="B385" s="10" t="n"/>
      <c r="C385" s="10" t="n"/>
      <c r="D385" s="10" t="n"/>
      <c r="E385" s="10" t="n"/>
      <c r="F385" s="13" t="n"/>
      <c r="G385" s="10" t="n"/>
      <c r="H385" s="10" t="n"/>
      <c r="I385" s="10" t="n"/>
      <c r="J385" s="10" t="n"/>
      <c r="K385" s="10">
        <f>IF(A385="","",TEXT(A385,"yyyy-mm"))</f>
        <v/>
      </c>
      <c r="L385" s="10">
        <f>IF(A385="","",WEEKNUM(A385))</f>
        <v/>
      </c>
      <c r="M385" s="10">
        <f>IF(A385="","",IF(COUNTIFS(A:A,A385,B:B,B385,F:F,F385)&gt;1,"⚠ Possible Duplicate",""))</f>
        <v/>
      </c>
      <c r="N385" s="10" t="n"/>
    </row>
    <row r="386">
      <c r="A386" s="10" t="n"/>
      <c r="B386" s="10" t="n"/>
      <c r="C386" s="10" t="n"/>
      <c r="D386" s="10" t="n"/>
      <c r="E386" s="10" t="n"/>
      <c r="F386" s="13" t="n"/>
      <c r="G386" s="10" t="n"/>
      <c r="H386" s="10" t="n"/>
      <c r="I386" s="10" t="n"/>
      <c r="J386" s="10" t="n"/>
      <c r="K386" s="10">
        <f>IF(A386="","",TEXT(A386,"yyyy-mm"))</f>
        <v/>
      </c>
      <c r="L386" s="10">
        <f>IF(A386="","",WEEKNUM(A386))</f>
        <v/>
      </c>
      <c r="M386" s="10">
        <f>IF(A386="","",IF(COUNTIFS(A:A,A386,B:B,B386,F:F,F386)&gt;1,"⚠ Possible Duplicate",""))</f>
        <v/>
      </c>
      <c r="N386" s="10" t="n"/>
    </row>
    <row r="387">
      <c r="A387" s="10" t="n"/>
      <c r="B387" s="10" t="n"/>
      <c r="C387" s="10" t="n"/>
      <c r="D387" s="10" t="n"/>
      <c r="E387" s="10" t="n"/>
      <c r="F387" s="13" t="n"/>
      <c r="G387" s="10" t="n"/>
      <c r="H387" s="10" t="n"/>
      <c r="I387" s="10" t="n"/>
      <c r="J387" s="10" t="n"/>
      <c r="K387" s="10">
        <f>IF(A387="","",TEXT(A387,"yyyy-mm"))</f>
        <v/>
      </c>
      <c r="L387" s="10">
        <f>IF(A387="","",WEEKNUM(A387))</f>
        <v/>
      </c>
      <c r="M387" s="10">
        <f>IF(A387="","",IF(COUNTIFS(A:A,A387,B:B,B387,F:F,F387)&gt;1,"⚠ Possible Duplicate",""))</f>
        <v/>
      </c>
      <c r="N387" s="10" t="n"/>
    </row>
    <row r="388">
      <c r="A388" s="10" t="n"/>
      <c r="B388" s="10" t="n"/>
      <c r="C388" s="10" t="n"/>
      <c r="D388" s="10" t="n"/>
      <c r="E388" s="10" t="n"/>
      <c r="F388" s="13" t="n"/>
      <c r="G388" s="10" t="n"/>
      <c r="H388" s="10" t="n"/>
      <c r="I388" s="10" t="n"/>
      <c r="J388" s="10" t="n"/>
      <c r="K388" s="10">
        <f>IF(A388="","",TEXT(A388,"yyyy-mm"))</f>
        <v/>
      </c>
      <c r="L388" s="10">
        <f>IF(A388="","",WEEKNUM(A388))</f>
        <v/>
      </c>
      <c r="M388" s="10">
        <f>IF(A388="","",IF(COUNTIFS(A:A,A388,B:B,B388,F:F,F388)&gt;1,"⚠ Possible Duplicate",""))</f>
        <v/>
      </c>
      <c r="N388" s="10" t="n"/>
    </row>
    <row r="389">
      <c r="A389" s="10" t="n"/>
      <c r="B389" s="10" t="n"/>
      <c r="C389" s="10" t="n"/>
      <c r="D389" s="10" t="n"/>
      <c r="E389" s="10" t="n"/>
      <c r="F389" s="13" t="n"/>
      <c r="G389" s="10" t="n"/>
      <c r="H389" s="10" t="n"/>
      <c r="I389" s="10" t="n"/>
      <c r="J389" s="10" t="n"/>
      <c r="K389" s="10">
        <f>IF(A389="","",TEXT(A389,"yyyy-mm"))</f>
        <v/>
      </c>
      <c r="L389" s="10">
        <f>IF(A389="","",WEEKNUM(A389))</f>
        <v/>
      </c>
      <c r="M389" s="10">
        <f>IF(A389="","",IF(COUNTIFS(A:A,A389,B:B,B389,F:F,F389)&gt;1,"⚠ Possible Duplicate",""))</f>
        <v/>
      </c>
      <c r="N389" s="10" t="n"/>
    </row>
    <row r="390">
      <c r="A390" s="10" t="n"/>
      <c r="B390" s="10" t="n"/>
      <c r="C390" s="10" t="n"/>
      <c r="D390" s="10" t="n"/>
      <c r="E390" s="10" t="n"/>
      <c r="F390" s="13" t="n"/>
      <c r="G390" s="10" t="n"/>
      <c r="H390" s="10" t="n"/>
      <c r="I390" s="10" t="n"/>
      <c r="J390" s="10" t="n"/>
      <c r="K390" s="10">
        <f>IF(A390="","",TEXT(A390,"yyyy-mm"))</f>
        <v/>
      </c>
      <c r="L390" s="10">
        <f>IF(A390="","",WEEKNUM(A390))</f>
        <v/>
      </c>
      <c r="M390" s="10">
        <f>IF(A390="","",IF(COUNTIFS(A:A,A390,B:B,B390,F:F,F390)&gt;1,"⚠ Possible Duplicate",""))</f>
        <v/>
      </c>
      <c r="N390" s="10" t="n"/>
    </row>
    <row r="391">
      <c r="A391" s="10" t="n"/>
      <c r="B391" s="10" t="n"/>
      <c r="C391" s="10" t="n"/>
      <c r="D391" s="10" t="n"/>
      <c r="E391" s="10" t="n"/>
      <c r="F391" s="13" t="n"/>
      <c r="G391" s="10" t="n"/>
      <c r="H391" s="10" t="n"/>
      <c r="I391" s="10" t="n"/>
      <c r="J391" s="10" t="n"/>
      <c r="K391" s="10">
        <f>IF(A391="","",TEXT(A391,"yyyy-mm"))</f>
        <v/>
      </c>
      <c r="L391" s="10">
        <f>IF(A391="","",WEEKNUM(A391))</f>
        <v/>
      </c>
      <c r="M391" s="10">
        <f>IF(A391="","",IF(COUNTIFS(A:A,A391,B:B,B391,F:F,F391)&gt;1,"⚠ Possible Duplicate",""))</f>
        <v/>
      </c>
      <c r="N391" s="10" t="n"/>
    </row>
    <row r="392">
      <c r="A392" s="10" t="n"/>
      <c r="B392" s="10" t="n"/>
      <c r="C392" s="10" t="n"/>
      <c r="D392" s="10" t="n"/>
      <c r="E392" s="10" t="n"/>
      <c r="F392" s="13" t="n"/>
      <c r="G392" s="10" t="n"/>
      <c r="H392" s="10" t="n"/>
      <c r="I392" s="10" t="n"/>
      <c r="J392" s="10" t="n"/>
      <c r="K392" s="10">
        <f>IF(A392="","",TEXT(A392,"yyyy-mm"))</f>
        <v/>
      </c>
      <c r="L392" s="10">
        <f>IF(A392="","",WEEKNUM(A392))</f>
        <v/>
      </c>
      <c r="M392" s="10">
        <f>IF(A392="","",IF(COUNTIFS(A:A,A392,B:B,B392,F:F,F392)&gt;1,"⚠ Possible Duplicate",""))</f>
        <v/>
      </c>
      <c r="N392" s="10" t="n"/>
    </row>
    <row r="393">
      <c r="A393" s="10" t="n"/>
      <c r="B393" s="10" t="n"/>
      <c r="C393" s="10" t="n"/>
      <c r="D393" s="10" t="n"/>
      <c r="E393" s="10" t="n"/>
      <c r="F393" s="13" t="n"/>
      <c r="G393" s="10" t="n"/>
      <c r="H393" s="10" t="n"/>
      <c r="I393" s="10" t="n"/>
      <c r="J393" s="10" t="n"/>
      <c r="K393" s="10">
        <f>IF(A393="","",TEXT(A393,"yyyy-mm"))</f>
        <v/>
      </c>
      <c r="L393" s="10">
        <f>IF(A393="","",WEEKNUM(A393))</f>
        <v/>
      </c>
      <c r="M393" s="10">
        <f>IF(A393="","",IF(COUNTIFS(A:A,A393,B:B,B393,F:F,F393)&gt;1,"⚠ Possible Duplicate",""))</f>
        <v/>
      </c>
      <c r="N393" s="10" t="n"/>
    </row>
    <row r="394">
      <c r="A394" s="10" t="n"/>
      <c r="B394" s="10" t="n"/>
      <c r="C394" s="10" t="n"/>
      <c r="D394" s="10" t="n"/>
      <c r="E394" s="10" t="n"/>
      <c r="F394" s="13" t="n"/>
      <c r="G394" s="10" t="n"/>
      <c r="H394" s="10" t="n"/>
      <c r="I394" s="10" t="n"/>
      <c r="J394" s="10" t="n"/>
      <c r="K394" s="10">
        <f>IF(A394="","",TEXT(A394,"yyyy-mm"))</f>
        <v/>
      </c>
      <c r="L394" s="10">
        <f>IF(A394="","",WEEKNUM(A394))</f>
        <v/>
      </c>
      <c r="M394" s="10">
        <f>IF(A394="","",IF(COUNTIFS(A:A,A394,B:B,B394,F:F,F394)&gt;1,"⚠ Possible Duplicate",""))</f>
        <v/>
      </c>
      <c r="N394" s="10" t="n"/>
    </row>
    <row r="395">
      <c r="A395" s="10" t="n"/>
      <c r="B395" s="10" t="n"/>
      <c r="C395" s="10" t="n"/>
      <c r="D395" s="10" t="n"/>
      <c r="E395" s="10" t="n"/>
      <c r="F395" s="13" t="n"/>
      <c r="G395" s="10" t="n"/>
      <c r="H395" s="10" t="n"/>
      <c r="I395" s="10" t="n"/>
      <c r="J395" s="10" t="n"/>
      <c r="K395" s="10">
        <f>IF(A395="","",TEXT(A395,"yyyy-mm"))</f>
        <v/>
      </c>
      <c r="L395" s="10">
        <f>IF(A395="","",WEEKNUM(A395))</f>
        <v/>
      </c>
      <c r="M395" s="10">
        <f>IF(A395="","",IF(COUNTIFS(A:A,A395,B:B,B395,F:F,F395)&gt;1,"⚠ Possible Duplicate",""))</f>
        <v/>
      </c>
      <c r="N395" s="10" t="n"/>
    </row>
    <row r="396">
      <c r="A396" s="10" t="n"/>
      <c r="B396" s="10" t="n"/>
      <c r="C396" s="10" t="n"/>
      <c r="D396" s="10" t="n"/>
      <c r="E396" s="10" t="n"/>
      <c r="F396" s="13" t="n"/>
      <c r="G396" s="10" t="n"/>
      <c r="H396" s="10" t="n"/>
      <c r="I396" s="10" t="n"/>
      <c r="J396" s="10" t="n"/>
      <c r="K396" s="10">
        <f>IF(A396="","",TEXT(A396,"yyyy-mm"))</f>
        <v/>
      </c>
      <c r="L396" s="10">
        <f>IF(A396="","",WEEKNUM(A396))</f>
        <v/>
      </c>
      <c r="M396" s="10">
        <f>IF(A396="","",IF(COUNTIFS(A:A,A396,B:B,B396,F:F,F396)&gt;1,"⚠ Possible Duplicate",""))</f>
        <v/>
      </c>
      <c r="N396" s="10" t="n"/>
    </row>
    <row r="397">
      <c r="A397" s="10" t="n"/>
      <c r="B397" s="10" t="n"/>
      <c r="C397" s="10" t="n"/>
      <c r="D397" s="10" t="n"/>
      <c r="E397" s="10" t="n"/>
      <c r="F397" s="13" t="n"/>
      <c r="G397" s="10" t="n"/>
      <c r="H397" s="10" t="n"/>
      <c r="I397" s="10" t="n"/>
      <c r="J397" s="10" t="n"/>
      <c r="K397" s="10">
        <f>IF(A397="","",TEXT(A397,"yyyy-mm"))</f>
        <v/>
      </c>
      <c r="L397" s="10">
        <f>IF(A397="","",WEEKNUM(A397))</f>
        <v/>
      </c>
      <c r="M397" s="10">
        <f>IF(A397="","",IF(COUNTIFS(A:A,A397,B:B,B397,F:F,F397)&gt;1,"⚠ Possible Duplicate",""))</f>
        <v/>
      </c>
      <c r="N397" s="10" t="n"/>
    </row>
    <row r="398">
      <c r="A398" s="10" t="n"/>
      <c r="B398" s="10" t="n"/>
      <c r="C398" s="10" t="n"/>
      <c r="D398" s="10" t="n"/>
      <c r="E398" s="10" t="n"/>
      <c r="F398" s="13" t="n"/>
      <c r="G398" s="10" t="n"/>
      <c r="H398" s="10" t="n"/>
      <c r="I398" s="10" t="n"/>
      <c r="J398" s="10" t="n"/>
      <c r="K398" s="10">
        <f>IF(A398="","",TEXT(A398,"yyyy-mm"))</f>
        <v/>
      </c>
      <c r="L398" s="10">
        <f>IF(A398="","",WEEKNUM(A398))</f>
        <v/>
      </c>
      <c r="M398" s="10">
        <f>IF(A398="","",IF(COUNTIFS(A:A,A398,B:B,B398,F:F,F398)&gt;1,"⚠ Possible Duplicate",""))</f>
        <v/>
      </c>
      <c r="N398" s="10" t="n"/>
    </row>
    <row r="399">
      <c r="A399" s="10" t="n"/>
      <c r="B399" s="10" t="n"/>
      <c r="C399" s="10" t="n"/>
      <c r="D399" s="10" t="n"/>
      <c r="E399" s="10" t="n"/>
      <c r="F399" s="13" t="n"/>
      <c r="G399" s="10" t="n"/>
      <c r="H399" s="10" t="n"/>
      <c r="I399" s="10" t="n"/>
      <c r="J399" s="10" t="n"/>
      <c r="K399" s="10">
        <f>IF(A399="","",TEXT(A399,"yyyy-mm"))</f>
        <v/>
      </c>
      <c r="L399" s="10">
        <f>IF(A399="","",WEEKNUM(A399))</f>
        <v/>
      </c>
      <c r="M399" s="10">
        <f>IF(A399="","",IF(COUNTIFS(A:A,A399,B:B,B399,F:F,F399)&gt;1,"⚠ Possible Duplicate",""))</f>
        <v/>
      </c>
      <c r="N399" s="10" t="n"/>
    </row>
    <row r="400">
      <c r="A400" s="10" t="n"/>
      <c r="B400" s="10" t="n"/>
      <c r="C400" s="10" t="n"/>
      <c r="D400" s="10" t="n"/>
      <c r="E400" s="10" t="n"/>
      <c r="F400" s="13" t="n"/>
      <c r="G400" s="10" t="n"/>
      <c r="H400" s="10" t="n"/>
      <c r="I400" s="10" t="n"/>
      <c r="J400" s="10" t="n"/>
      <c r="K400" s="10">
        <f>IF(A400="","",TEXT(A400,"yyyy-mm"))</f>
        <v/>
      </c>
      <c r="L400" s="10">
        <f>IF(A400="","",WEEKNUM(A400))</f>
        <v/>
      </c>
      <c r="M400" s="10">
        <f>IF(A400="","",IF(COUNTIFS(A:A,A400,B:B,B400,F:F,F400)&gt;1,"⚠ Possible Duplicate",""))</f>
        <v/>
      </c>
      <c r="N400" s="10" t="n"/>
    </row>
    <row r="401">
      <c r="A401" s="10" t="n"/>
      <c r="B401" s="10" t="n"/>
      <c r="C401" s="10" t="n"/>
      <c r="D401" s="10" t="n"/>
      <c r="E401" s="10" t="n"/>
      <c r="F401" s="13" t="n"/>
      <c r="G401" s="10" t="n"/>
      <c r="H401" s="10" t="n"/>
      <c r="I401" s="10" t="n"/>
      <c r="J401" s="10" t="n"/>
      <c r="K401" s="10">
        <f>IF(A401="","",TEXT(A401,"yyyy-mm"))</f>
        <v/>
      </c>
      <c r="L401" s="10">
        <f>IF(A401="","",WEEKNUM(A401))</f>
        <v/>
      </c>
      <c r="M401" s="10">
        <f>IF(A401="","",IF(COUNTIFS(A:A,A401,B:B,B401,F:F,F401)&gt;1,"⚠ Possible Duplicate",""))</f>
        <v/>
      </c>
      <c r="N401" s="10" t="n"/>
    </row>
    <row r="402">
      <c r="A402" s="10" t="n"/>
      <c r="B402" s="10" t="n"/>
      <c r="C402" s="10" t="n"/>
      <c r="D402" s="10" t="n"/>
      <c r="E402" s="10" t="n"/>
      <c r="F402" s="13" t="n"/>
      <c r="G402" s="10" t="n"/>
      <c r="H402" s="10" t="n"/>
      <c r="I402" s="10" t="n"/>
      <c r="J402" s="10" t="n"/>
      <c r="K402" s="10">
        <f>IF(A402="","",TEXT(A402,"yyyy-mm"))</f>
        <v/>
      </c>
      <c r="L402" s="10">
        <f>IF(A402="","",WEEKNUM(A402))</f>
        <v/>
      </c>
      <c r="M402" s="10">
        <f>IF(A402="","",IF(COUNTIFS(A:A,A402,B:B,B402,F:F,F402)&gt;1,"⚠ Possible Duplicate",""))</f>
        <v/>
      </c>
      <c r="N402" s="10" t="n"/>
    </row>
    <row r="403">
      <c r="A403" s="10" t="n"/>
      <c r="B403" s="10" t="n"/>
      <c r="C403" s="10" t="n"/>
      <c r="D403" s="10" t="n"/>
      <c r="E403" s="10" t="n"/>
      <c r="F403" s="13" t="n"/>
      <c r="G403" s="10" t="n"/>
      <c r="H403" s="10" t="n"/>
      <c r="I403" s="10" t="n"/>
      <c r="J403" s="10" t="n"/>
      <c r="K403" s="10">
        <f>IF(A403="","",TEXT(A403,"yyyy-mm"))</f>
        <v/>
      </c>
      <c r="L403" s="10">
        <f>IF(A403="","",WEEKNUM(A403))</f>
        <v/>
      </c>
      <c r="M403" s="10">
        <f>IF(A403="","",IF(COUNTIFS(A:A,A403,B:B,B403,F:F,F403)&gt;1,"⚠ Possible Duplicate",""))</f>
        <v/>
      </c>
      <c r="N403" s="10" t="n"/>
    </row>
    <row r="404">
      <c r="A404" s="10" t="n"/>
      <c r="B404" s="10" t="n"/>
      <c r="C404" s="10" t="n"/>
      <c r="D404" s="10" t="n"/>
      <c r="E404" s="10" t="n"/>
      <c r="F404" s="13" t="n"/>
      <c r="G404" s="10" t="n"/>
      <c r="H404" s="10" t="n"/>
      <c r="I404" s="10" t="n"/>
      <c r="J404" s="10" t="n"/>
      <c r="K404" s="10">
        <f>IF(A404="","",TEXT(A404,"yyyy-mm"))</f>
        <v/>
      </c>
      <c r="L404" s="10">
        <f>IF(A404="","",WEEKNUM(A404))</f>
        <v/>
      </c>
      <c r="M404" s="10">
        <f>IF(A404="","",IF(COUNTIFS(A:A,A404,B:B,B404,F:F,F404)&gt;1,"⚠ Possible Duplicate",""))</f>
        <v/>
      </c>
      <c r="N404" s="10" t="n"/>
    </row>
    <row r="405">
      <c r="A405" s="10" t="n"/>
      <c r="B405" s="10" t="n"/>
      <c r="C405" s="10" t="n"/>
      <c r="D405" s="10" t="n"/>
      <c r="E405" s="10" t="n"/>
      <c r="F405" s="13" t="n"/>
      <c r="G405" s="10" t="n"/>
      <c r="H405" s="10" t="n"/>
      <c r="I405" s="10" t="n"/>
      <c r="J405" s="10" t="n"/>
      <c r="K405" s="10">
        <f>IF(A405="","",TEXT(A405,"yyyy-mm"))</f>
        <v/>
      </c>
      <c r="L405" s="10">
        <f>IF(A405="","",WEEKNUM(A405))</f>
        <v/>
      </c>
      <c r="M405" s="10">
        <f>IF(A405="","",IF(COUNTIFS(A:A,A405,B:B,B405,F:F,F405)&gt;1,"⚠ Possible Duplicate",""))</f>
        <v/>
      </c>
      <c r="N405" s="10" t="n"/>
    </row>
    <row r="406">
      <c r="A406" s="10" t="n"/>
      <c r="B406" s="10" t="n"/>
      <c r="C406" s="10" t="n"/>
      <c r="D406" s="10" t="n"/>
      <c r="E406" s="10" t="n"/>
      <c r="F406" s="13" t="n"/>
      <c r="G406" s="10" t="n"/>
      <c r="H406" s="10" t="n"/>
      <c r="I406" s="10" t="n"/>
      <c r="J406" s="10" t="n"/>
      <c r="K406" s="10">
        <f>IF(A406="","",TEXT(A406,"yyyy-mm"))</f>
        <v/>
      </c>
      <c r="L406" s="10">
        <f>IF(A406="","",WEEKNUM(A406))</f>
        <v/>
      </c>
      <c r="M406" s="10">
        <f>IF(A406="","",IF(COUNTIFS(A:A,A406,B:B,B406,F:F,F406)&gt;1,"⚠ Possible Duplicate",""))</f>
        <v/>
      </c>
      <c r="N406" s="10" t="n"/>
    </row>
    <row r="407">
      <c r="A407" s="10" t="n"/>
      <c r="B407" s="10" t="n"/>
      <c r="C407" s="10" t="n"/>
      <c r="D407" s="10" t="n"/>
      <c r="E407" s="10" t="n"/>
      <c r="F407" s="13" t="n"/>
      <c r="G407" s="10" t="n"/>
      <c r="H407" s="10" t="n"/>
      <c r="I407" s="10" t="n"/>
      <c r="J407" s="10" t="n"/>
      <c r="K407" s="10">
        <f>IF(A407="","",TEXT(A407,"yyyy-mm"))</f>
        <v/>
      </c>
      <c r="L407" s="10">
        <f>IF(A407="","",WEEKNUM(A407))</f>
        <v/>
      </c>
      <c r="M407" s="10">
        <f>IF(A407="","",IF(COUNTIFS(A:A,A407,B:B,B407,F:F,F407)&gt;1,"⚠ Possible Duplicate",""))</f>
        <v/>
      </c>
      <c r="N407" s="10" t="n"/>
    </row>
    <row r="408">
      <c r="A408" s="10" t="n"/>
      <c r="B408" s="10" t="n"/>
      <c r="C408" s="10" t="n"/>
      <c r="D408" s="10" t="n"/>
      <c r="E408" s="10" t="n"/>
      <c r="F408" s="13" t="n"/>
      <c r="G408" s="10" t="n"/>
      <c r="H408" s="10" t="n"/>
      <c r="I408" s="10" t="n"/>
      <c r="J408" s="10" t="n"/>
      <c r="K408" s="10">
        <f>IF(A408="","",TEXT(A408,"yyyy-mm"))</f>
        <v/>
      </c>
      <c r="L408" s="10">
        <f>IF(A408="","",WEEKNUM(A408))</f>
        <v/>
      </c>
      <c r="M408" s="10">
        <f>IF(A408="","",IF(COUNTIFS(A:A,A408,B:B,B408,F:F,F408)&gt;1,"⚠ Possible Duplicate",""))</f>
        <v/>
      </c>
      <c r="N408" s="10" t="n"/>
    </row>
    <row r="409">
      <c r="A409" s="10" t="n"/>
      <c r="B409" s="10" t="n"/>
      <c r="C409" s="10" t="n"/>
      <c r="D409" s="10" t="n"/>
      <c r="E409" s="10" t="n"/>
      <c r="F409" s="13" t="n"/>
      <c r="G409" s="10" t="n"/>
      <c r="H409" s="10" t="n"/>
      <c r="I409" s="10" t="n"/>
      <c r="J409" s="10" t="n"/>
      <c r="K409" s="10">
        <f>IF(A409="","",TEXT(A409,"yyyy-mm"))</f>
        <v/>
      </c>
      <c r="L409" s="10">
        <f>IF(A409="","",WEEKNUM(A409))</f>
        <v/>
      </c>
      <c r="M409" s="10">
        <f>IF(A409="","",IF(COUNTIFS(A:A,A409,B:B,B409,F:F,F409)&gt;1,"⚠ Possible Duplicate",""))</f>
        <v/>
      </c>
      <c r="N409" s="10" t="n"/>
    </row>
    <row r="410">
      <c r="A410" s="10" t="n"/>
      <c r="B410" s="10" t="n"/>
      <c r="C410" s="10" t="n"/>
      <c r="D410" s="10" t="n"/>
      <c r="E410" s="10" t="n"/>
      <c r="F410" s="13" t="n"/>
      <c r="G410" s="10" t="n"/>
      <c r="H410" s="10" t="n"/>
      <c r="I410" s="10" t="n"/>
      <c r="J410" s="10" t="n"/>
      <c r="K410" s="10">
        <f>IF(A410="","",TEXT(A410,"yyyy-mm"))</f>
        <v/>
      </c>
      <c r="L410" s="10">
        <f>IF(A410="","",WEEKNUM(A410))</f>
        <v/>
      </c>
      <c r="M410" s="10">
        <f>IF(A410="","",IF(COUNTIFS(A:A,A410,B:B,B410,F:F,F410)&gt;1,"⚠ Possible Duplicate",""))</f>
        <v/>
      </c>
      <c r="N410" s="10" t="n"/>
    </row>
    <row r="411">
      <c r="A411" s="10" t="n"/>
      <c r="B411" s="10" t="n"/>
      <c r="C411" s="10" t="n"/>
      <c r="D411" s="10" t="n"/>
      <c r="E411" s="10" t="n"/>
      <c r="F411" s="13" t="n"/>
      <c r="G411" s="10" t="n"/>
      <c r="H411" s="10" t="n"/>
      <c r="I411" s="10" t="n"/>
      <c r="J411" s="10" t="n"/>
      <c r="K411" s="10">
        <f>IF(A411="","",TEXT(A411,"yyyy-mm"))</f>
        <v/>
      </c>
      <c r="L411" s="10">
        <f>IF(A411="","",WEEKNUM(A411))</f>
        <v/>
      </c>
      <c r="M411" s="10">
        <f>IF(A411="","",IF(COUNTIFS(A:A,A411,B:B,B411,F:F,F411)&gt;1,"⚠ Possible Duplicate",""))</f>
        <v/>
      </c>
      <c r="N411" s="10" t="n"/>
    </row>
    <row r="412">
      <c r="A412" s="10" t="n"/>
      <c r="B412" s="10" t="n"/>
      <c r="C412" s="10" t="n"/>
      <c r="D412" s="10" t="n"/>
      <c r="E412" s="10" t="n"/>
      <c r="F412" s="13" t="n"/>
      <c r="G412" s="10" t="n"/>
      <c r="H412" s="10" t="n"/>
      <c r="I412" s="10" t="n"/>
      <c r="J412" s="10" t="n"/>
      <c r="K412" s="10">
        <f>IF(A412="","",TEXT(A412,"yyyy-mm"))</f>
        <v/>
      </c>
      <c r="L412" s="10">
        <f>IF(A412="","",WEEKNUM(A412))</f>
        <v/>
      </c>
      <c r="M412" s="10">
        <f>IF(A412="","",IF(COUNTIFS(A:A,A412,B:B,B412,F:F,F412)&gt;1,"⚠ Possible Duplicate",""))</f>
        <v/>
      </c>
      <c r="N412" s="10" t="n"/>
    </row>
    <row r="413">
      <c r="A413" s="10" t="n"/>
      <c r="B413" s="10" t="n"/>
      <c r="C413" s="10" t="n"/>
      <c r="D413" s="10" t="n"/>
      <c r="E413" s="10" t="n"/>
      <c r="F413" s="13" t="n"/>
      <c r="G413" s="10" t="n"/>
      <c r="H413" s="10" t="n"/>
      <c r="I413" s="10" t="n"/>
      <c r="J413" s="10" t="n"/>
      <c r="K413" s="10">
        <f>IF(A413="","",TEXT(A413,"yyyy-mm"))</f>
        <v/>
      </c>
      <c r="L413" s="10">
        <f>IF(A413="","",WEEKNUM(A413))</f>
        <v/>
      </c>
      <c r="M413" s="10">
        <f>IF(A413="","",IF(COUNTIFS(A:A,A413,B:B,B413,F:F,F413)&gt;1,"⚠ Possible Duplicate",""))</f>
        <v/>
      </c>
      <c r="N413" s="10" t="n"/>
    </row>
    <row r="414">
      <c r="A414" s="10" t="n"/>
      <c r="B414" s="10" t="n"/>
      <c r="C414" s="10" t="n"/>
      <c r="D414" s="10" t="n"/>
      <c r="E414" s="10" t="n"/>
      <c r="F414" s="13" t="n"/>
      <c r="G414" s="10" t="n"/>
      <c r="H414" s="10" t="n"/>
      <c r="I414" s="10" t="n"/>
      <c r="J414" s="10" t="n"/>
      <c r="K414" s="10">
        <f>IF(A414="","",TEXT(A414,"yyyy-mm"))</f>
        <v/>
      </c>
      <c r="L414" s="10">
        <f>IF(A414="","",WEEKNUM(A414))</f>
        <v/>
      </c>
      <c r="M414" s="10">
        <f>IF(A414="","",IF(COUNTIFS(A:A,A414,B:B,B414,F:F,F414)&gt;1,"⚠ Possible Duplicate",""))</f>
        <v/>
      </c>
      <c r="N414" s="10" t="n"/>
    </row>
    <row r="415">
      <c r="A415" s="10" t="n"/>
      <c r="B415" s="10" t="n"/>
      <c r="C415" s="10" t="n"/>
      <c r="D415" s="10" t="n"/>
      <c r="E415" s="10" t="n"/>
      <c r="F415" s="13" t="n"/>
      <c r="G415" s="10" t="n"/>
      <c r="H415" s="10" t="n"/>
      <c r="I415" s="10" t="n"/>
      <c r="J415" s="10" t="n"/>
      <c r="K415" s="10">
        <f>IF(A415="","",TEXT(A415,"yyyy-mm"))</f>
        <v/>
      </c>
      <c r="L415" s="10">
        <f>IF(A415="","",WEEKNUM(A415))</f>
        <v/>
      </c>
      <c r="M415" s="10">
        <f>IF(A415="","",IF(COUNTIFS(A:A,A415,B:B,B415,F:F,F415)&gt;1,"⚠ Possible Duplicate",""))</f>
        <v/>
      </c>
      <c r="N415" s="10" t="n"/>
    </row>
    <row r="416">
      <c r="A416" s="10" t="n"/>
      <c r="B416" s="10" t="n"/>
      <c r="C416" s="10" t="n"/>
      <c r="D416" s="10" t="n"/>
      <c r="E416" s="10" t="n"/>
      <c r="F416" s="13" t="n"/>
      <c r="G416" s="10" t="n"/>
      <c r="H416" s="10" t="n"/>
      <c r="I416" s="10" t="n"/>
      <c r="J416" s="10" t="n"/>
      <c r="K416" s="10">
        <f>IF(A416="","",TEXT(A416,"yyyy-mm"))</f>
        <v/>
      </c>
      <c r="L416" s="10">
        <f>IF(A416="","",WEEKNUM(A416))</f>
        <v/>
      </c>
      <c r="M416" s="10">
        <f>IF(A416="","",IF(COUNTIFS(A:A,A416,B:B,B416,F:F,F416)&gt;1,"⚠ Possible Duplicate",""))</f>
        <v/>
      </c>
      <c r="N416" s="10" t="n"/>
    </row>
    <row r="417">
      <c r="A417" s="10" t="n"/>
      <c r="B417" s="10" t="n"/>
      <c r="C417" s="10" t="n"/>
      <c r="D417" s="10" t="n"/>
      <c r="E417" s="10" t="n"/>
      <c r="F417" s="13" t="n"/>
      <c r="G417" s="10" t="n"/>
      <c r="H417" s="10" t="n"/>
      <c r="I417" s="10" t="n"/>
      <c r="J417" s="10" t="n"/>
      <c r="K417" s="10">
        <f>IF(A417="","",TEXT(A417,"yyyy-mm"))</f>
        <v/>
      </c>
      <c r="L417" s="10">
        <f>IF(A417="","",WEEKNUM(A417))</f>
        <v/>
      </c>
      <c r="M417" s="10">
        <f>IF(A417="","",IF(COUNTIFS(A:A,A417,B:B,B417,F:F,F417)&gt;1,"⚠ Possible Duplicate",""))</f>
        <v/>
      </c>
      <c r="N417" s="10" t="n"/>
    </row>
    <row r="418">
      <c r="A418" s="10" t="n"/>
      <c r="B418" s="10" t="n"/>
      <c r="C418" s="10" t="n"/>
      <c r="D418" s="10" t="n"/>
      <c r="E418" s="10" t="n"/>
      <c r="F418" s="13" t="n"/>
      <c r="G418" s="10" t="n"/>
      <c r="H418" s="10" t="n"/>
      <c r="I418" s="10" t="n"/>
      <c r="J418" s="10" t="n"/>
      <c r="K418" s="10">
        <f>IF(A418="","",TEXT(A418,"yyyy-mm"))</f>
        <v/>
      </c>
      <c r="L418" s="10">
        <f>IF(A418="","",WEEKNUM(A418))</f>
        <v/>
      </c>
      <c r="M418" s="10">
        <f>IF(A418="","",IF(COUNTIFS(A:A,A418,B:B,B418,F:F,F418)&gt;1,"⚠ Possible Duplicate",""))</f>
        <v/>
      </c>
      <c r="N418" s="10" t="n"/>
    </row>
    <row r="419">
      <c r="A419" s="10" t="n"/>
      <c r="B419" s="10" t="n"/>
      <c r="C419" s="10" t="n"/>
      <c r="D419" s="10" t="n"/>
      <c r="E419" s="10" t="n"/>
      <c r="F419" s="13" t="n"/>
      <c r="G419" s="10" t="n"/>
      <c r="H419" s="10" t="n"/>
      <c r="I419" s="10" t="n"/>
      <c r="J419" s="10" t="n"/>
      <c r="K419" s="10">
        <f>IF(A419="","",TEXT(A419,"yyyy-mm"))</f>
        <v/>
      </c>
      <c r="L419" s="10">
        <f>IF(A419="","",WEEKNUM(A419))</f>
        <v/>
      </c>
      <c r="M419" s="10">
        <f>IF(A419="","",IF(COUNTIFS(A:A,A419,B:B,B419,F:F,F419)&gt;1,"⚠ Possible Duplicate",""))</f>
        <v/>
      </c>
      <c r="N419" s="10" t="n"/>
    </row>
    <row r="420">
      <c r="A420" s="10" t="n"/>
      <c r="B420" s="10" t="n"/>
      <c r="C420" s="10" t="n"/>
      <c r="D420" s="10" t="n"/>
      <c r="E420" s="10" t="n"/>
      <c r="F420" s="13" t="n"/>
      <c r="G420" s="10" t="n"/>
      <c r="H420" s="10" t="n"/>
      <c r="I420" s="10" t="n"/>
      <c r="J420" s="10" t="n"/>
      <c r="K420" s="10">
        <f>IF(A420="","",TEXT(A420,"yyyy-mm"))</f>
        <v/>
      </c>
      <c r="L420" s="10">
        <f>IF(A420="","",WEEKNUM(A420))</f>
        <v/>
      </c>
      <c r="M420" s="10">
        <f>IF(A420="","",IF(COUNTIFS(A:A,A420,B:B,B420,F:F,F420)&gt;1,"⚠ Possible Duplicate",""))</f>
        <v/>
      </c>
      <c r="N420" s="10" t="n"/>
    </row>
    <row r="421">
      <c r="A421" s="10" t="n"/>
      <c r="B421" s="10" t="n"/>
      <c r="C421" s="10" t="n"/>
      <c r="D421" s="10" t="n"/>
      <c r="E421" s="10" t="n"/>
      <c r="F421" s="13" t="n"/>
      <c r="G421" s="10" t="n"/>
      <c r="H421" s="10" t="n"/>
      <c r="I421" s="10" t="n"/>
      <c r="J421" s="10" t="n"/>
      <c r="K421" s="10">
        <f>IF(A421="","",TEXT(A421,"yyyy-mm"))</f>
        <v/>
      </c>
      <c r="L421" s="10">
        <f>IF(A421="","",WEEKNUM(A421))</f>
        <v/>
      </c>
      <c r="M421" s="10">
        <f>IF(A421="","",IF(COUNTIFS(A:A,A421,B:B,B421,F:F,F421)&gt;1,"⚠ Possible Duplicate",""))</f>
        <v/>
      </c>
      <c r="N421" s="10" t="n"/>
    </row>
    <row r="422">
      <c r="A422" s="10" t="n"/>
      <c r="B422" s="10" t="n"/>
      <c r="C422" s="10" t="n"/>
      <c r="D422" s="10" t="n"/>
      <c r="E422" s="10" t="n"/>
      <c r="F422" s="13" t="n"/>
      <c r="G422" s="10" t="n"/>
      <c r="H422" s="10" t="n"/>
      <c r="I422" s="10" t="n"/>
      <c r="J422" s="10" t="n"/>
      <c r="K422" s="10">
        <f>IF(A422="","",TEXT(A422,"yyyy-mm"))</f>
        <v/>
      </c>
      <c r="L422" s="10">
        <f>IF(A422="","",WEEKNUM(A422))</f>
        <v/>
      </c>
      <c r="M422" s="10">
        <f>IF(A422="","",IF(COUNTIFS(A:A,A422,B:B,B422,F:F,F422)&gt;1,"⚠ Possible Duplicate",""))</f>
        <v/>
      </c>
      <c r="N422" s="10" t="n"/>
    </row>
    <row r="423">
      <c r="A423" s="10" t="n"/>
      <c r="B423" s="10" t="n"/>
      <c r="C423" s="10" t="n"/>
      <c r="D423" s="10" t="n"/>
      <c r="E423" s="10" t="n"/>
      <c r="F423" s="13" t="n"/>
      <c r="G423" s="10" t="n"/>
      <c r="H423" s="10" t="n"/>
      <c r="I423" s="10" t="n"/>
      <c r="J423" s="10" t="n"/>
      <c r="K423" s="10">
        <f>IF(A423="","",TEXT(A423,"yyyy-mm"))</f>
        <v/>
      </c>
      <c r="L423" s="10">
        <f>IF(A423="","",WEEKNUM(A423))</f>
        <v/>
      </c>
      <c r="M423" s="10">
        <f>IF(A423="","",IF(COUNTIFS(A:A,A423,B:B,B423,F:F,F423)&gt;1,"⚠ Possible Duplicate",""))</f>
        <v/>
      </c>
      <c r="N423" s="10" t="n"/>
    </row>
    <row r="424">
      <c r="A424" s="10" t="n"/>
      <c r="B424" s="10" t="n"/>
      <c r="C424" s="10" t="n"/>
      <c r="D424" s="10" t="n"/>
      <c r="E424" s="10" t="n"/>
      <c r="F424" s="13" t="n"/>
      <c r="G424" s="10" t="n"/>
      <c r="H424" s="10" t="n"/>
      <c r="I424" s="10" t="n"/>
      <c r="J424" s="10" t="n"/>
      <c r="K424" s="10">
        <f>IF(A424="","",TEXT(A424,"yyyy-mm"))</f>
        <v/>
      </c>
      <c r="L424" s="10">
        <f>IF(A424="","",WEEKNUM(A424))</f>
        <v/>
      </c>
      <c r="M424" s="10">
        <f>IF(A424="","",IF(COUNTIFS(A:A,A424,B:B,B424,F:F,F424)&gt;1,"⚠ Possible Duplicate",""))</f>
        <v/>
      </c>
      <c r="N424" s="10" t="n"/>
    </row>
    <row r="425">
      <c r="A425" s="10" t="n"/>
      <c r="B425" s="10" t="n"/>
      <c r="C425" s="10" t="n"/>
      <c r="D425" s="10" t="n"/>
      <c r="E425" s="10" t="n"/>
      <c r="F425" s="13" t="n"/>
      <c r="G425" s="10" t="n"/>
      <c r="H425" s="10" t="n"/>
      <c r="I425" s="10" t="n"/>
      <c r="J425" s="10" t="n"/>
      <c r="K425" s="10">
        <f>IF(A425="","",TEXT(A425,"yyyy-mm"))</f>
        <v/>
      </c>
      <c r="L425" s="10">
        <f>IF(A425="","",WEEKNUM(A425))</f>
        <v/>
      </c>
      <c r="M425" s="10">
        <f>IF(A425="","",IF(COUNTIFS(A:A,A425,B:B,B425,F:F,F425)&gt;1,"⚠ Possible Duplicate",""))</f>
        <v/>
      </c>
      <c r="N425" s="10" t="n"/>
    </row>
    <row r="426">
      <c r="A426" s="10" t="n"/>
      <c r="B426" s="10" t="n"/>
      <c r="C426" s="10" t="n"/>
      <c r="D426" s="10" t="n"/>
      <c r="E426" s="10" t="n"/>
      <c r="F426" s="13" t="n"/>
      <c r="G426" s="10" t="n"/>
      <c r="H426" s="10" t="n"/>
      <c r="I426" s="10" t="n"/>
      <c r="J426" s="10" t="n"/>
      <c r="K426" s="10">
        <f>IF(A426="","",TEXT(A426,"yyyy-mm"))</f>
        <v/>
      </c>
      <c r="L426" s="10">
        <f>IF(A426="","",WEEKNUM(A426))</f>
        <v/>
      </c>
      <c r="M426" s="10">
        <f>IF(A426="","",IF(COUNTIFS(A:A,A426,B:B,B426,F:F,F426)&gt;1,"⚠ Possible Duplicate",""))</f>
        <v/>
      </c>
      <c r="N426" s="10" t="n"/>
    </row>
    <row r="427">
      <c r="A427" s="10" t="n"/>
      <c r="B427" s="10" t="n"/>
      <c r="C427" s="10" t="n"/>
      <c r="D427" s="10" t="n"/>
      <c r="E427" s="10" t="n"/>
      <c r="F427" s="13" t="n"/>
      <c r="G427" s="10" t="n"/>
      <c r="H427" s="10" t="n"/>
      <c r="I427" s="10" t="n"/>
      <c r="J427" s="10" t="n"/>
      <c r="K427" s="10">
        <f>IF(A427="","",TEXT(A427,"yyyy-mm"))</f>
        <v/>
      </c>
      <c r="L427" s="10">
        <f>IF(A427="","",WEEKNUM(A427))</f>
        <v/>
      </c>
      <c r="M427" s="10">
        <f>IF(A427="","",IF(COUNTIFS(A:A,A427,B:B,B427,F:F,F427)&gt;1,"⚠ Possible Duplicate",""))</f>
        <v/>
      </c>
      <c r="N427" s="10" t="n"/>
    </row>
    <row r="428">
      <c r="A428" s="10" t="n"/>
      <c r="B428" s="10" t="n"/>
      <c r="C428" s="10" t="n"/>
      <c r="D428" s="10" t="n"/>
      <c r="E428" s="10" t="n"/>
      <c r="F428" s="13" t="n"/>
      <c r="G428" s="10" t="n"/>
      <c r="H428" s="10" t="n"/>
      <c r="I428" s="10" t="n"/>
      <c r="J428" s="10" t="n"/>
      <c r="K428" s="10">
        <f>IF(A428="","",TEXT(A428,"yyyy-mm"))</f>
        <v/>
      </c>
      <c r="L428" s="10">
        <f>IF(A428="","",WEEKNUM(A428))</f>
        <v/>
      </c>
      <c r="M428" s="10">
        <f>IF(A428="","",IF(COUNTIFS(A:A,A428,B:B,B428,F:F,F428)&gt;1,"⚠ Possible Duplicate",""))</f>
        <v/>
      </c>
      <c r="N428" s="10" t="n"/>
    </row>
    <row r="429">
      <c r="A429" s="10" t="n"/>
      <c r="B429" s="10" t="n"/>
      <c r="C429" s="10" t="n"/>
      <c r="D429" s="10" t="n"/>
      <c r="E429" s="10" t="n"/>
      <c r="F429" s="13" t="n"/>
      <c r="G429" s="10" t="n"/>
      <c r="H429" s="10" t="n"/>
      <c r="I429" s="10" t="n"/>
      <c r="J429" s="10" t="n"/>
      <c r="K429" s="10">
        <f>IF(A429="","",TEXT(A429,"yyyy-mm"))</f>
        <v/>
      </c>
      <c r="L429" s="10">
        <f>IF(A429="","",WEEKNUM(A429))</f>
        <v/>
      </c>
      <c r="M429" s="10">
        <f>IF(A429="","",IF(COUNTIFS(A:A,A429,B:B,B429,F:F,F429)&gt;1,"⚠ Possible Duplicate",""))</f>
        <v/>
      </c>
      <c r="N429" s="10" t="n"/>
    </row>
    <row r="430">
      <c r="A430" s="10" t="n"/>
      <c r="B430" s="10" t="n"/>
      <c r="C430" s="10" t="n"/>
      <c r="D430" s="10" t="n"/>
      <c r="E430" s="10" t="n"/>
      <c r="F430" s="13" t="n"/>
      <c r="G430" s="10" t="n"/>
      <c r="H430" s="10" t="n"/>
      <c r="I430" s="10" t="n"/>
      <c r="J430" s="10" t="n"/>
      <c r="K430" s="10">
        <f>IF(A430="","",TEXT(A430,"yyyy-mm"))</f>
        <v/>
      </c>
      <c r="L430" s="10">
        <f>IF(A430="","",WEEKNUM(A430))</f>
        <v/>
      </c>
      <c r="M430" s="10">
        <f>IF(A430="","",IF(COUNTIFS(A:A,A430,B:B,B430,F:F,F430)&gt;1,"⚠ Possible Duplicate",""))</f>
        <v/>
      </c>
      <c r="N430" s="10" t="n"/>
    </row>
    <row r="431">
      <c r="A431" s="10" t="n"/>
      <c r="B431" s="10" t="n"/>
      <c r="C431" s="10" t="n"/>
      <c r="D431" s="10" t="n"/>
      <c r="E431" s="10" t="n"/>
      <c r="F431" s="13" t="n"/>
      <c r="G431" s="10" t="n"/>
      <c r="H431" s="10" t="n"/>
      <c r="I431" s="10" t="n"/>
      <c r="J431" s="10" t="n"/>
      <c r="K431" s="10">
        <f>IF(A431="","",TEXT(A431,"yyyy-mm"))</f>
        <v/>
      </c>
      <c r="L431" s="10">
        <f>IF(A431="","",WEEKNUM(A431))</f>
        <v/>
      </c>
      <c r="M431" s="10">
        <f>IF(A431="","",IF(COUNTIFS(A:A,A431,B:B,B431,F:F,F431)&gt;1,"⚠ Possible Duplicate",""))</f>
        <v/>
      </c>
      <c r="N431" s="10" t="n"/>
    </row>
    <row r="432">
      <c r="A432" s="10" t="n"/>
      <c r="B432" s="10" t="n"/>
      <c r="C432" s="10" t="n"/>
      <c r="D432" s="10" t="n"/>
      <c r="E432" s="10" t="n"/>
      <c r="F432" s="13" t="n"/>
      <c r="G432" s="10" t="n"/>
      <c r="H432" s="10" t="n"/>
      <c r="I432" s="10" t="n"/>
      <c r="J432" s="10" t="n"/>
      <c r="K432" s="10">
        <f>IF(A432="","",TEXT(A432,"yyyy-mm"))</f>
        <v/>
      </c>
      <c r="L432" s="10">
        <f>IF(A432="","",WEEKNUM(A432))</f>
        <v/>
      </c>
      <c r="M432" s="10">
        <f>IF(A432="","",IF(COUNTIFS(A:A,A432,B:B,B432,F:F,F432)&gt;1,"⚠ Possible Duplicate",""))</f>
        <v/>
      </c>
      <c r="N432" s="10" t="n"/>
    </row>
    <row r="433">
      <c r="A433" s="10" t="n"/>
      <c r="B433" s="10" t="n"/>
      <c r="C433" s="10" t="n"/>
      <c r="D433" s="10" t="n"/>
      <c r="E433" s="10" t="n"/>
      <c r="F433" s="13" t="n"/>
      <c r="G433" s="10" t="n"/>
      <c r="H433" s="10" t="n"/>
      <c r="I433" s="10" t="n"/>
      <c r="J433" s="10" t="n"/>
      <c r="K433" s="10">
        <f>IF(A433="","",TEXT(A433,"yyyy-mm"))</f>
        <v/>
      </c>
      <c r="L433" s="10">
        <f>IF(A433="","",WEEKNUM(A433))</f>
        <v/>
      </c>
      <c r="M433" s="10">
        <f>IF(A433="","",IF(COUNTIFS(A:A,A433,B:B,B433,F:F,F433)&gt;1,"⚠ Possible Duplicate",""))</f>
        <v/>
      </c>
      <c r="N433" s="10" t="n"/>
    </row>
    <row r="434">
      <c r="A434" s="10" t="n"/>
      <c r="B434" s="10" t="n"/>
      <c r="C434" s="10" t="n"/>
      <c r="D434" s="10" t="n"/>
      <c r="E434" s="10" t="n"/>
      <c r="F434" s="13" t="n"/>
      <c r="G434" s="10" t="n"/>
      <c r="H434" s="10" t="n"/>
      <c r="I434" s="10" t="n"/>
      <c r="J434" s="10" t="n"/>
      <c r="K434" s="10">
        <f>IF(A434="","",TEXT(A434,"yyyy-mm"))</f>
        <v/>
      </c>
      <c r="L434" s="10">
        <f>IF(A434="","",WEEKNUM(A434))</f>
        <v/>
      </c>
      <c r="M434" s="10">
        <f>IF(A434="","",IF(COUNTIFS(A:A,A434,B:B,B434,F:F,F434)&gt;1,"⚠ Possible Duplicate",""))</f>
        <v/>
      </c>
      <c r="N434" s="10" t="n"/>
    </row>
    <row r="435">
      <c r="A435" s="10" t="n"/>
      <c r="B435" s="10" t="n"/>
      <c r="C435" s="10" t="n"/>
      <c r="D435" s="10" t="n"/>
      <c r="E435" s="10" t="n"/>
      <c r="F435" s="13" t="n"/>
      <c r="G435" s="10" t="n"/>
      <c r="H435" s="10" t="n"/>
      <c r="I435" s="10" t="n"/>
      <c r="J435" s="10" t="n"/>
      <c r="K435" s="10">
        <f>IF(A435="","",TEXT(A435,"yyyy-mm"))</f>
        <v/>
      </c>
      <c r="L435" s="10">
        <f>IF(A435="","",WEEKNUM(A435))</f>
        <v/>
      </c>
      <c r="M435" s="10">
        <f>IF(A435="","",IF(COUNTIFS(A:A,A435,B:B,B435,F:F,F435)&gt;1,"⚠ Possible Duplicate",""))</f>
        <v/>
      </c>
      <c r="N435" s="10" t="n"/>
    </row>
    <row r="436">
      <c r="A436" s="10" t="n"/>
      <c r="B436" s="10" t="n"/>
      <c r="C436" s="10" t="n"/>
      <c r="D436" s="10" t="n"/>
      <c r="E436" s="10" t="n"/>
      <c r="F436" s="13" t="n"/>
      <c r="G436" s="10" t="n"/>
      <c r="H436" s="10" t="n"/>
      <c r="I436" s="10" t="n"/>
      <c r="J436" s="10" t="n"/>
      <c r="K436" s="10">
        <f>IF(A436="","",TEXT(A436,"yyyy-mm"))</f>
        <v/>
      </c>
      <c r="L436" s="10">
        <f>IF(A436="","",WEEKNUM(A436))</f>
        <v/>
      </c>
      <c r="M436" s="10">
        <f>IF(A436="","",IF(COUNTIFS(A:A,A436,B:B,B436,F:F,F436)&gt;1,"⚠ Possible Duplicate",""))</f>
        <v/>
      </c>
      <c r="N436" s="10" t="n"/>
    </row>
    <row r="437">
      <c r="A437" s="10" t="n"/>
      <c r="B437" s="10" t="n"/>
      <c r="C437" s="10" t="n"/>
      <c r="D437" s="10" t="n"/>
      <c r="E437" s="10" t="n"/>
      <c r="F437" s="13" t="n"/>
      <c r="G437" s="10" t="n"/>
      <c r="H437" s="10" t="n"/>
      <c r="I437" s="10" t="n"/>
      <c r="J437" s="10" t="n"/>
      <c r="K437" s="10">
        <f>IF(A437="","",TEXT(A437,"yyyy-mm"))</f>
        <v/>
      </c>
      <c r="L437" s="10">
        <f>IF(A437="","",WEEKNUM(A437))</f>
        <v/>
      </c>
      <c r="M437" s="10">
        <f>IF(A437="","",IF(COUNTIFS(A:A,A437,B:B,B437,F:F,F437)&gt;1,"⚠ Possible Duplicate",""))</f>
        <v/>
      </c>
      <c r="N437" s="10" t="n"/>
    </row>
    <row r="438">
      <c r="A438" s="10" t="n"/>
      <c r="B438" s="10" t="n"/>
      <c r="C438" s="10" t="n"/>
      <c r="D438" s="10" t="n"/>
      <c r="E438" s="10" t="n"/>
      <c r="F438" s="13" t="n"/>
      <c r="G438" s="10" t="n"/>
      <c r="H438" s="10" t="n"/>
      <c r="I438" s="10" t="n"/>
      <c r="J438" s="10" t="n"/>
      <c r="K438" s="10">
        <f>IF(A438="","",TEXT(A438,"yyyy-mm"))</f>
        <v/>
      </c>
      <c r="L438" s="10">
        <f>IF(A438="","",WEEKNUM(A438))</f>
        <v/>
      </c>
      <c r="M438" s="10">
        <f>IF(A438="","",IF(COUNTIFS(A:A,A438,B:B,B438,F:F,F438)&gt;1,"⚠ Possible Duplicate",""))</f>
        <v/>
      </c>
      <c r="N438" s="10" t="n"/>
    </row>
    <row r="439">
      <c r="A439" s="10" t="n"/>
      <c r="B439" s="10" t="n"/>
      <c r="C439" s="10" t="n"/>
      <c r="D439" s="10" t="n"/>
      <c r="E439" s="10" t="n"/>
      <c r="F439" s="13" t="n"/>
      <c r="G439" s="10" t="n"/>
      <c r="H439" s="10" t="n"/>
      <c r="I439" s="10" t="n"/>
      <c r="J439" s="10" t="n"/>
      <c r="K439" s="10">
        <f>IF(A439="","",TEXT(A439,"yyyy-mm"))</f>
        <v/>
      </c>
      <c r="L439" s="10">
        <f>IF(A439="","",WEEKNUM(A439))</f>
        <v/>
      </c>
      <c r="M439" s="10">
        <f>IF(A439="","",IF(COUNTIFS(A:A,A439,B:B,B439,F:F,F439)&gt;1,"⚠ Possible Duplicate",""))</f>
        <v/>
      </c>
      <c r="N439" s="10" t="n"/>
    </row>
    <row r="440">
      <c r="A440" s="10" t="n"/>
      <c r="B440" s="10" t="n"/>
      <c r="C440" s="10" t="n"/>
      <c r="D440" s="10" t="n"/>
      <c r="E440" s="10" t="n"/>
      <c r="F440" s="13" t="n"/>
      <c r="G440" s="10" t="n"/>
      <c r="H440" s="10" t="n"/>
      <c r="I440" s="10" t="n"/>
      <c r="J440" s="10" t="n"/>
      <c r="K440" s="10">
        <f>IF(A440="","",TEXT(A440,"yyyy-mm"))</f>
        <v/>
      </c>
      <c r="L440" s="10">
        <f>IF(A440="","",WEEKNUM(A440))</f>
        <v/>
      </c>
      <c r="M440" s="10">
        <f>IF(A440="","",IF(COUNTIFS(A:A,A440,B:B,B440,F:F,F440)&gt;1,"⚠ Possible Duplicate",""))</f>
        <v/>
      </c>
      <c r="N440" s="10" t="n"/>
    </row>
    <row r="441">
      <c r="A441" s="10" t="n"/>
      <c r="B441" s="10" t="n"/>
      <c r="C441" s="10" t="n"/>
      <c r="D441" s="10" t="n"/>
      <c r="E441" s="10" t="n"/>
      <c r="F441" s="13" t="n"/>
      <c r="G441" s="10" t="n"/>
      <c r="H441" s="10" t="n"/>
      <c r="I441" s="10" t="n"/>
      <c r="J441" s="10" t="n"/>
      <c r="K441" s="10">
        <f>IF(A441="","",TEXT(A441,"yyyy-mm"))</f>
        <v/>
      </c>
      <c r="L441" s="10">
        <f>IF(A441="","",WEEKNUM(A441))</f>
        <v/>
      </c>
      <c r="M441" s="10">
        <f>IF(A441="","",IF(COUNTIFS(A:A,A441,B:B,B441,F:F,F441)&gt;1,"⚠ Possible Duplicate",""))</f>
        <v/>
      </c>
      <c r="N441" s="10" t="n"/>
    </row>
    <row r="442">
      <c r="A442" s="10" t="n"/>
      <c r="B442" s="10" t="n"/>
      <c r="C442" s="10" t="n"/>
      <c r="D442" s="10" t="n"/>
      <c r="E442" s="10" t="n"/>
      <c r="F442" s="13" t="n"/>
      <c r="G442" s="10" t="n"/>
      <c r="H442" s="10" t="n"/>
      <c r="I442" s="10" t="n"/>
      <c r="J442" s="10" t="n"/>
      <c r="K442" s="10">
        <f>IF(A442="","",TEXT(A442,"yyyy-mm"))</f>
        <v/>
      </c>
      <c r="L442" s="10">
        <f>IF(A442="","",WEEKNUM(A442))</f>
        <v/>
      </c>
      <c r="M442" s="10">
        <f>IF(A442="","",IF(COUNTIFS(A:A,A442,B:B,B442,F:F,F442)&gt;1,"⚠ Possible Duplicate",""))</f>
        <v/>
      </c>
      <c r="N442" s="10" t="n"/>
    </row>
    <row r="443">
      <c r="A443" s="10" t="n"/>
      <c r="B443" s="10" t="n"/>
      <c r="C443" s="10" t="n"/>
      <c r="D443" s="10" t="n"/>
      <c r="E443" s="10" t="n"/>
      <c r="F443" s="13" t="n"/>
      <c r="G443" s="10" t="n"/>
      <c r="H443" s="10" t="n"/>
      <c r="I443" s="10" t="n"/>
      <c r="J443" s="10" t="n"/>
      <c r="K443" s="10">
        <f>IF(A443="","",TEXT(A443,"yyyy-mm"))</f>
        <v/>
      </c>
      <c r="L443" s="10">
        <f>IF(A443="","",WEEKNUM(A443))</f>
        <v/>
      </c>
      <c r="M443" s="10">
        <f>IF(A443="","",IF(COUNTIFS(A:A,A443,B:B,B443,F:F,F443)&gt;1,"⚠ Possible Duplicate",""))</f>
        <v/>
      </c>
      <c r="N443" s="10" t="n"/>
    </row>
    <row r="444">
      <c r="A444" s="10" t="n"/>
      <c r="B444" s="10" t="n"/>
      <c r="C444" s="10" t="n"/>
      <c r="D444" s="10" t="n"/>
      <c r="E444" s="10" t="n"/>
      <c r="F444" s="13" t="n"/>
      <c r="G444" s="10" t="n"/>
      <c r="H444" s="10" t="n"/>
      <c r="I444" s="10" t="n"/>
      <c r="J444" s="10" t="n"/>
      <c r="K444" s="10">
        <f>IF(A444="","",TEXT(A444,"yyyy-mm"))</f>
        <v/>
      </c>
      <c r="L444" s="10">
        <f>IF(A444="","",WEEKNUM(A444))</f>
        <v/>
      </c>
      <c r="M444" s="10">
        <f>IF(A444="","",IF(COUNTIFS(A:A,A444,B:B,B444,F:F,F444)&gt;1,"⚠ Possible Duplicate",""))</f>
        <v/>
      </c>
      <c r="N444" s="10" t="n"/>
    </row>
    <row r="445">
      <c r="A445" s="10" t="n"/>
      <c r="B445" s="10" t="n"/>
      <c r="C445" s="10" t="n"/>
      <c r="D445" s="10" t="n"/>
      <c r="E445" s="10" t="n"/>
      <c r="F445" s="13" t="n"/>
      <c r="G445" s="10" t="n"/>
      <c r="H445" s="10" t="n"/>
      <c r="I445" s="10" t="n"/>
      <c r="J445" s="10" t="n"/>
      <c r="K445" s="10">
        <f>IF(A445="","",TEXT(A445,"yyyy-mm"))</f>
        <v/>
      </c>
      <c r="L445" s="10">
        <f>IF(A445="","",WEEKNUM(A445))</f>
        <v/>
      </c>
      <c r="M445" s="10">
        <f>IF(A445="","",IF(COUNTIFS(A:A,A445,B:B,B445,F:F,F445)&gt;1,"⚠ Possible Duplicate",""))</f>
        <v/>
      </c>
      <c r="N445" s="10" t="n"/>
    </row>
    <row r="446">
      <c r="A446" s="10" t="n"/>
      <c r="B446" s="10" t="n"/>
      <c r="C446" s="10" t="n"/>
      <c r="D446" s="10" t="n"/>
      <c r="E446" s="10" t="n"/>
      <c r="F446" s="13" t="n"/>
      <c r="G446" s="10" t="n"/>
      <c r="H446" s="10" t="n"/>
      <c r="I446" s="10" t="n"/>
      <c r="J446" s="10" t="n"/>
      <c r="K446" s="10">
        <f>IF(A446="","",TEXT(A446,"yyyy-mm"))</f>
        <v/>
      </c>
      <c r="L446" s="10">
        <f>IF(A446="","",WEEKNUM(A446))</f>
        <v/>
      </c>
      <c r="M446" s="10">
        <f>IF(A446="","",IF(COUNTIFS(A:A,A446,B:B,B446,F:F,F446)&gt;1,"⚠ Possible Duplicate",""))</f>
        <v/>
      </c>
      <c r="N446" s="10" t="n"/>
    </row>
    <row r="447">
      <c r="A447" s="10" t="n"/>
      <c r="B447" s="10" t="n"/>
      <c r="C447" s="10" t="n"/>
      <c r="D447" s="10" t="n"/>
      <c r="E447" s="10" t="n"/>
      <c r="F447" s="13" t="n"/>
      <c r="G447" s="10" t="n"/>
      <c r="H447" s="10" t="n"/>
      <c r="I447" s="10" t="n"/>
      <c r="J447" s="10" t="n"/>
      <c r="K447" s="10">
        <f>IF(A447="","",TEXT(A447,"yyyy-mm"))</f>
        <v/>
      </c>
      <c r="L447" s="10">
        <f>IF(A447="","",WEEKNUM(A447))</f>
        <v/>
      </c>
      <c r="M447" s="10">
        <f>IF(A447="","",IF(COUNTIFS(A:A,A447,B:B,B447,F:F,F447)&gt;1,"⚠ Possible Duplicate",""))</f>
        <v/>
      </c>
      <c r="N447" s="10" t="n"/>
    </row>
    <row r="448">
      <c r="A448" s="10" t="n"/>
      <c r="B448" s="10" t="n"/>
      <c r="C448" s="10" t="n"/>
      <c r="D448" s="10" t="n"/>
      <c r="E448" s="10" t="n"/>
      <c r="F448" s="13" t="n"/>
      <c r="G448" s="10" t="n"/>
      <c r="H448" s="10" t="n"/>
      <c r="I448" s="10" t="n"/>
      <c r="J448" s="10" t="n"/>
      <c r="K448" s="10">
        <f>IF(A448="","",TEXT(A448,"yyyy-mm"))</f>
        <v/>
      </c>
      <c r="L448" s="10">
        <f>IF(A448="","",WEEKNUM(A448))</f>
        <v/>
      </c>
      <c r="M448" s="10">
        <f>IF(A448="","",IF(COUNTIFS(A:A,A448,B:B,B448,F:F,F448)&gt;1,"⚠ Possible Duplicate",""))</f>
        <v/>
      </c>
      <c r="N448" s="10" t="n"/>
    </row>
    <row r="449">
      <c r="A449" s="10" t="n"/>
      <c r="B449" s="10" t="n"/>
      <c r="C449" s="10" t="n"/>
      <c r="D449" s="10" t="n"/>
      <c r="E449" s="10" t="n"/>
      <c r="F449" s="13" t="n"/>
      <c r="G449" s="10" t="n"/>
      <c r="H449" s="10" t="n"/>
      <c r="I449" s="10" t="n"/>
      <c r="J449" s="10" t="n"/>
      <c r="K449" s="10">
        <f>IF(A449="","",TEXT(A449,"yyyy-mm"))</f>
        <v/>
      </c>
      <c r="L449" s="10">
        <f>IF(A449="","",WEEKNUM(A449))</f>
        <v/>
      </c>
      <c r="M449" s="10">
        <f>IF(A449="","",IF(COUNTIFS(A:A,A449,B:B,B449,F:F,F449)&gt;1,"⚠ Possible Duplicate",""))</f>
        <v/>
      </c>
      <c r="N449" s="10" t="n"/>
    </row>
    <row r="450">
      <c r="A450" s="10" t="n"/>
      <c r="B450" s="10" t="n"/>
      <c r="C450" s="10" t="n"/>
      <c r="D450" s="10" t="n"/>
      <c r="E450" s="10" t="n"/>
      <c r="F450" s="13" t="n"/>
      <c r="G450" s="10" t="n"/>
      <c r="H450" s="10" t="n"/>
      <c r="I450" s="10" t="n"/>
      <c r="J450" s="10" t="n"/>
      <c r="K450" s="10">
        <f>IF(A450="","",TEXT(A450,"yyyy-mm"))</f>
        <v/>
      </c>
      <c r="L450" s="10">
        <f>IF(A450="","",WEEKNUM(A450))</f>
        <v/>
      </c>
      <c r="M450" s="10">
        <f>IF(A450="","",IF(COUNTIFS(A:A,A450,B:B,B450,F:F,F450)&gt;1,"⚠ Possible Duplicate",""))</f>
        <v/>
      </c>
      <c r="N450" s="10" t="n"/>
    </row>
    <row r="451">
      <c r="A451" s="10" t="n"/>
      <c r="B451" s="10" t="n"/>
      <c r="C451" s="10" t="n"/>
      <c r="D451" s="10" t="n"/>
      <c r="E451" s="10" t="n"/>
      <c r="F451" s="13" t="n"/>
      <c r="G451" s="10" t="n"/>
      <c r="H451" s="10" t="n"/>
      <c r="I451" s="10" t="n"/>
      <c r="J451" s="10" t="n"/>
      <c r="K451" s="10">
        <f>IF(A451="","",TEXT(A451,"yyyy-mm"))</f>
        <v/>
      </c>
      <c r="L451" s="10">
        <f>IF(A451="","",WEEKNUM(A451))</f>
        <v/>
      </c>
      <c r="M451" s="10">
        <f>IF(A451="","",IF(COUNTIFS(A:A,A451,B:B,B451,F:F,F451)&gt;1,"⚠ Possible Duplicate",""))</f>
        <v/>
      </c>
      <c r="N451" s="10" t="n"/>
    </row>
    <row r="452">
      <c r="A452" s="10" t="n"/>
      <c r="B452" s="10" t="n"/>
      <c r="C452" s="10" t="n"/>
      <c r="D452" s="10" t="n"/>
      <c r="E452" s="10" t="n"/>
      <c r="F452" s="13" t="n"/>
      <c r="G452" s="10" t="n"/>
      <c r="H452" s="10" t="n"/>
      <c r="I452" s="10" t="n"/>
      <c r="J452" s="10" t="n"/>
      <c r="K452" s="10">
        <f>IF(A452="","",TEXT(A452,"yyyy-mm"))</f>
        <v/>
      </c>
      <c r="L452" s="10">
        <f>IF(A452="","",WEEKNUM(A452))</f>
        <v/>
      </c>
      <c r="M452" s="10">
        <f>IF(A452="","",IF(COUNTIFS(A:A,A452,B:B,B452,F:F,F452)&gt;1,"⚠ Possible Duplicate",""))</f>
        <v/>
      </c>
      <c r="N452" s="10" t="n"/>
    </row>
    <row r="453">
      <c r="A453" s="10" t="n"/>
      <c r="B453" s="10" t="n"/>
      <c r="C453" s="10" t="n"/>
      <c r="D453" s="10" t="n"/>
      <c r="E453" s="10" t="n"/>
      <c r="F453" s="13" t="n"/>
      <c r="G453" s="10" t="n"/>
      <c r="H453" s="10" t="n"/>
      <c r="I453" s="10" t="n"/>
      <c r="J453" s="10" t="n"/>
      <c r="K453" s="10">
        <f>IF(A453="","",TEXT(A453,"yyyy-mm"))</f>
        <v/>
      </c>
      <c r="L453" s="10">
        <f>IF(A453="","",WEEKNUM(A453))</f>
        <v/>
      </c>
      <c r="M453" s="10">
        <f>IF(A453="","",IF(COUNTIFS(A:A,A453,B:B,B453,F:F,F453)&gt;1,"⚠ Possible Duplicate",""))</f>
        <v/>
      </c>
      <c r="N453" s="10" t="n"/>
    </row>
    <row r="454">
      <c r="A454" s="10" t="n"/>
      <c r="B454" s="10" t="n"/>
      <c r="C454" s="10" t="n"/>
      <c r="D454" s="10" t="n"/>
      <c r="E454" s="10" t="n"/>
      <c r="F454" s="13" t="n"/>
      <c r="G454" s="10" t="n"/>
      <c r="H454" s="10" t="n"/>
      <c r="I454" s="10" t="n"/>
      <c r="J454" s="10" t="n"/>
      <c r="K454" s="10">
        <f>IF(A454="","",TEXT(A454,"yyyy-mm"))</f>
        <v/>
      </c>
      <c r="L454" s="10">
        <f>IF(A454="","",WEEKNUM(A454))</f>
        <v/>
      </c>
      <c r="M454" s="10">
        <f>IF(A454="","",IF(COUNTIFS(A:A,A454,B:B,B454,F:F,F454)&gt;1,"⚠ Possible Duplicate",""))</f>
        <v/>
      </c>
      <c r="N454" s="10" t="n"/>
    </row>
    <row r="455">
      <c r="A455" s="10" t="n"/>
      <c r="B455" s="10" t="n"/>
      <c r="C455" s="10" t="n"/>
      <c r="D455" s="10" t="n"/>
      <c r="E455" s="10" t="n"/>
      <c r="F455" s="13" t="n"/>
      <c r="G455" s="10" t="n"/>
      <c r="H455" s="10" t="n"/>
      <c r="I455" s="10" t="n"/>
      <c r="J455" s="10" t="n"/>
      <c r="K455" s="10">
        <f>IF(A455="","",TEXT(A455,"yyyy-mm"))</f>
        <v/>
      </c>
      <c r="L455" s="10">
        <f>IF(A455="","",WEEKNUM(A455))</f>
        <v/>
      </c>
      <c r="M455" s="10">
        <f>IF(A455="","",IF(COUNTIFS(A:A,A455,B:B,B455,F:F,F455)&gt;1,"⚠ Possible Duplicate",""))</f>
        <v/>
      </c>
      <c r="N455" s="10" t="n"/>
    </row>
    <row r="456">
      <c r="A456" s="10" t="n"/>
      <c r="B456" s="10" t="n"/>
      <c r="C456" s="10" t="n"/>
      <c r="D456" s="10" t="n"/>
      <c r="E456" s="10" t="n"/>
      <c r="F456" s="13" t="n"/>
      <c r="G456" s="10" t="n"/>
      <c r="H456" s="10" t="n"/>
      <c r="I456" s="10" t="n"/>
      <c r="J456" s="10" t="n"/>
      <c r="K456" s="10">
        <f>IF(A456="","",TEXT(A456,"yyyy-mm"))</f>
        <v/>
      </c>
      <c r="L456" s="10">
        <f>IF(A456="","",WEEKNUM(A456))</f>
        <v/>
      </c>
      <c r="M456" s="10">
        <f>IF(A456="","",IF(COUNTIFS(A:A,A456,B:B,B456,F:F,F456)&gt;1,"⚠ Possible Duplicate",""))</f>
        <v/>
      </c>
      <c r="N456" s="10" t="n"/>
    </row>
    <row r="457">
      <c r="A457" s="10" t="n"/>
      <c r="B457" s="10" t="n"/>
      <c r="C457" s="10" t="n"/>
      <c r="D457" s="10" t="n"/>
      <c r="E457" s="10" t="n"/>
      <c r="F457" s="13" t="n"/>
      <c r="G457" s="10" t="n"/>
      <c r="H457" s="10" t="n"/>
      <c r="I457" s="10" t="n"/>
      <c r="J457" s="10" t="n"/>
      <c r="K457" s="10">
        <f>IF(A457="","",TEXT(A457,"yyyy-mm"))</f>
        <v/>
      </c>
      <c r="L457" s="10">
        <f>IF(A457="","",WEEKNUM(A457))</f>
        <v/>
      </c>
      <c r="M457" s="10">
        <f>IF(A457="","",IF(COUNTIFS(A:A,A457,B:B,B457,F:F,F457)&gt;1,"⚠ Possible Duplicate",""))</f>
        <v/>
      </c>
      <c r="N457" s="10" t="n"/>
    </row>
    <row r="458">
      <c r="A458" s="10" t="n"/>
      <c r="B458" s="10" t="n"/>
      <c r="C458" s="10" t="n"/>
      <c r="D458" s="10" t="n"/>
      <c r="E458" s="10" t="n"/>
      <c r="F458" s="13" t="n"/>
      <c r="G458" s="10" t="n"/>
      <c r="H458" s="10" t="n"/>
      <c r="I458" s="10" t="n"/>
      <c r="J458" s="10" t="n"/>
      <c r="K458" s="10">
        <f>IF(A458="","",TEXT(A458,"yyyy-mm"))</f>
        <v/>
      </c>
      <c r="L458" s="10">
        <f>IF(A458="","",WEEKNUM(A458))</f>
        <v/>
      </c>
      <c r="M458" s="10">
        <f>IF(A458="","",IF(COUNTIFS(A:A,A458,B:B,B458,F:F,F458)&gt;1,"⚠ Possible Duplicate",""))</f>
        <v/>
      </c>
      <c r="N458" s="10" t="n"/>
    </row>
    <row r="459">
      <c r="A459" s="10" t="n"/>
      <c r="B459" s="10" t="n"/>
      <c r="C459" s="10" t="n"/>
      <c r="D459" s="10" t="n"/>
      <c r="E459" s="10" t="n"/>
      <c r="F459" s="13" t="n"/>
      <c r="G459" s="10" t="n"/>
      <c r="H459" s="10" t="n"/>
      <c r="I459" s="10" t="n"/>
      <c r="J459" s="10" t="n"/>
      <c r="K459" s="10">
        <f>IF(A459="","",TEXT(A459,"yyyy-mm"))</f>
        <v/>
      </c>
      <c r="L459" s="10">
        <f>IF(A459="","",WEEKNUM(A459))</f>
        <v/>
      </c>
      <c r="M459" s="10">
        <f>IF(A459="","",IF(COUNTIFS(A:A,A459,B:B,B459,F:F,F459)&gt;1,"⚠ Possible Duplicate",""))</f>
        <v/>
      </c>
      <c r="N459" s="10" t="n"/>
    </row>
    <row r="460">
      <c r="A460" s="10" t="n"/>
      <c r="B460" s="10" t="n"/>
      <c r="C460" s="10" t="n"/>
      <c r="D460" s="10" t="n"/>
      <c r="E460" s="10" t="n"/>
      <c r="F460" s="13" t="n"/>
      <c r="G460" s="10" t="n"/>
      <c r="H460" s="10" t="n"/>
      <c r="I460" s="10" t="n"/>
      <c r="J460" s="10" t="n"/>
      <c r="K460" s="10">
        <f>IF(A460="","",TEXT(A460,"yyyy-mm"))</f>
        <v/>
      </c>
      <c r="L460" s="10">
        <f>IF(A460="","",WEEKNUM(A460))</f>
        <v/>
      </c>
      <c r="M460" s="10">
        <f>IF(A460="","",IF(COUNTIFS(A:A,A460,B:B,B460,F:F,F460)&gt;1,"⚠ Possible Duplicate",""))</f>
        <v/>
      </c>
      <c r="N460" s="10" t="n"/>
    </row>
    <row r="461">
      <c r="A461" s="10" t="n"/>
      <c r="B461" s="10" t="n"/>
      <c r="C461" s="10" t="n"/>
      <c r="D461" s="10" t="n"/>
      <c r="E461" s="10" t="n"/>
      <c r="F461" s="13" t="n"/>
      <c r="G461" s="10" t="n"/>
      <c r="H461" s="10" t="n"/>
      <c r="I461" s="10" t="n"/>
      <c r="J461" s="10" t="n"/>
      <c r="K461" s="10">
        <f>IF(A461="","",TEXT(A461,"yyyy-mm"))</f>
        <v/>
      </c>
      <c r="L461" s="10">
        <f>IF(A461="","",WEEKNUM(A461))</f>
        <v/>
      </c>
      <c r="M461" s="10">
        <f>IF(A461="","",IF(COUNTIFS(A:A,A461,B:B,B461,F:F,F461)&gt;1,"⚠ Possible Duplicate",""))</f>
        <v/>
      </c>
      <c r="N461" s="10" t="n"/>
    </row>
    <row r="462">
      <c r="A462" s="10" t="n"/>
      <c r="B462" s="10" t="n"/>
      <c r="C462" s="10" t="n"/>
      <c r="D462" s="10" t="n"/>
      <c r="E462" s="10" t="n"/>
      <c r="F462" s="13" t="n"/>
      <c r="G462" s="10" t="n"/>
      <c r="H462" s="10" t="n"/>
      <c r="I462" s="10" t="n"/>
      <c r="J462" s="10" t="n"/>
      <c r="K462" s="10">
        <f>IF(A462="","",TEXT(A462,"yyyy-mm"))</f>
        <v/>
      </c>
      <c r="L462" s="10">
        <f>IF(A462="","",WEEKNUM(A462))</f>
        <v/>
      </c>
      <c r="M462" s="10">
        <f>IF(A462="","",IF(COUNTIFS(A:A,A462,B:B,B462,F:F,F462)&gt;1,"⚠ Possible Duplicate",""))</f>
        <v/>
      </c>
      <c r="N462" s="10" t="n"/>
    </row>
    <row r="463">
      <c r="A463" s="10" t="n"/>
      <c r="B463" s="10" t="n"/>
      <c r="C463" s="10" t="n"/>
      <c r="D463" s="10" t="n"/>
      <c r="E463" s="10" t="n"/>
      <c r="F463" s="13" t="n"/>
      <c r="G463" s="10" t="n"/>
      <c r="H463" s="10" t="n"/>
      <c r="I463" s="10" t="n"/>
      <c r="J463" s="10" t="n"/>
      <c r="K463" s="10">
        <f>IF(A463="","",TEXT(A463,"yyyy-mm"))</f>
        <v/>
      </c>
      <c r="L463" s="10">
        <f>IF(A463="","",WEEKNUM(A463))</f>
        <v/>
      </c>
      <c r="M463" s="10">
        <f>IF(A463="","",IF(COUNTIFS(A:A,A463,B:B,B463,F:F,F463)&gt;1,"⚠ Possible Duplicate",""))</f>
        <v/>
      </c>
      <c r="N463" s="10" t="n"/>
    </row>
    <row r="464">
      <c r="A464" s="10" t="n"/>
      <c r="B464" s="10" t="n"/>
      <c r="C464" s="10" t="n"/>
      <c r="D464" s="10" t="n"/>
      <c r="E464" s="10" t="n"/>
      <c r="F464" s="13" t="n"/>
      <c r="G464" s="10" t="n"/>
      <c r="H464" s="10" t="n"/>
      <c r="I464" s="10" t="n"/>
      <c r="J464" s="10" t="n"/>
      <c r="K464" s="10">
        <f>IF(A464="","",TEXT(A464,"yyyy-mm"))</f>
        <v/>
      </c>
      <c r="L464" s="10">
        <f>IF(A464="","",WEEKNUM(A464))</f>
        <v/>
      </c>
      <c r="M464" s="10">
        <f>IF(A464="","",IF(COUNTIFS(A:A,A464,B:B,B464,F:F,F464)&gt;1,"⚠ Possible Duplicate",""))</f>
        <v/>
      </c>
      <c r="N464" s="10" t="n"/>
    </row>
    <row r="465">
      <c r="A465" s="10" t="n"/>
      <c r="B465" s="10" t="n"/>
      <c r="C465" s="10" t="n"/>
      <c r="D465" s="10" t="n"/>
      <c r="E465" s="10" t="n"/>
      <c r="F465" s="13" t="n"/>
      <c r="G465" s="10" t="n"/>
      <c r="H465" s="10" t="n"/>
      <c r="I465" s="10" t="n"/>
      <c r="J465" s="10" t="n"/>
      <c r="K465" s="10">
        <f>IF(A465="","",TEXT(A465,"yyyy-mm"))</f>
        <v/>
      </c>
      <c r="L465" s="10">
        <f>IF(A465="","",WEEKNUM(A465))</f>
        <v/>
      </c>
      <c r="M465" s="10">
        <f>IF(A465="","",IF(COUNTIFS(A:A,A465,B:B,B465,F:F,F465)&gt;1,"⚠ Possible Duplicate",""))</f>
        <v/>
      </c>
      <c r="N465" s="10" t="n"/>
    </row>
    <row r="466">
      <c r="A466" s="10" t="n"/>
      <c r="B466" s="10" t="n"/>
      <c r="C466" s="10" t="n"/>
      <c r="D466" s="10" t="n"/>
      <c r="E466" s="10" t="n"/>
      <c r="F466" s="13" t="n"/>
      <c r="G466" s="10" t="n"/>
      <c r="H466" s="10" t="n"/>
      <c r="I466" s="10" t="n"/>
      <c r="J466" s="10" t="n"/>
      <c r="K466" s="10">
        <f>IF(A466="","",TEXT(A466,"yyyy-mm"))</f>
        <v/>
      </c>
      <c r="L466" s="10">
        <f>IF(A466="","",WEEKNUM(A466))</f>
        <v/>
      </c>
      <c r="M466" s="10">
        <f>IF(A466="","",IF(COUNTIFS(A:A,A466,B:B,B466,F:F,F466)&gt;1,"⚠ Possible Duplicate",""))</f>
        <v/>
      </c>
      <c r="N466" s="10" t="n"/>
    </row>
    <row r="467">
      <c r="A467" s="10" t="n"/>
      <c r="B467" s="10" t="n"/>
      <c r="C467" s="10" t="n"/>
      <c r="D467" s="10" t="n"/>
      <c r="E467" s="10" t="n"/>
      <c r="F467" s="13" t="n"/>
      <c r="G467" s="10" t="n"/>
      <c r="H467" s="10" t="n"/>
      <c r="I467" s="10" t="n"/>
      <c r="J467" s="10" t="n"/>
      <c r="K467" s="10">
        <f>IF(A467="","",TEXT(A467,"yyyy-mm"))</f>
        <v/>
      </c>
      <c r="L467" s="10">
        <f>IF(A467="","",WEEKNUM(A467))</f>
        <v/>
      </c>
      <c r="M467" s="10">
        <f>IF(A467="","",IF(COUNTIFS(A:A,A467,B:B,B467,F:F,F467)&gt;1,"⚠ Possible Duplicate",""))</f>
        <v/>
      </c>
      <c r="N467" s="10" t="n"/>
    </row>
    <row r="468">
      <c r="A468" s="10" t="n"/>
      <c r="B468" s="10" t="n"/>
      <c r="C468" s="10" t="n"/>
      <c r="D468" s="10" t="n"/>
      <c r="E468" s="10" t="n"/>
      <c r="F468" s="13" t="n"/>
      <c r="G468" s="10" t="n"/>
      <c r="H468" s="10" t="n"/>
      <c r="I468" s="10" t="n"/>
      <c r="J468" s="10" t="n"/>
      <c r="K468" s="10">
        <f>IF(A468="","",TEXT(A468,"yyyy-mm"))</f>
        <v/>
      </c>
      <c r="L468" s="10">
        <f>IF(A468="","",WEEKNUM(A468))</f>
        <v/>
      </c>
      <c r="M468" s="10">
        <f>IF(A468="","",IF(COUNTIFS(A:A,A468,B:B,B468,F:F,F468)&gt;1,"⚠ Possible Duplicate",""))</f>
        <v/>
      </c>
      <c r="N468" s="10" t="n"/>
    </row>
    <row r="469">
      <c r="A469" s="10" t="n"/>
      <c r="B469" s="10" t="n"/>
      <c r="C469" s="10" t="n"/>
      <c r="D469" s="10" t="n"/>
      <c r="E469" s="10" t="n"/>
      <c r="F469" s="13" t="n"/>
      <c r="G469" s="10" t="n"/>
      <c r="H469" s="10" t="n"/>
      <c r="I469" s="10" t="n"/>
      <c r="J469" s="10" t="n"/>
      <c r="K469" s="10">
        <f>IF(A469="","",TEXT(A469,"yyyy-mm"))</f>
        <v/>
      </c>
      <c r="L469" s="10">
        <f>IF(A469="","",WEEKNUM(A469))</f>
        <v/>
      </c>
      <c r="M469" s="10">
        <f>IF(A469="","",IF(COUNTIFS(A:A,A469,B:B,B469,F:F,F469)&gt;1,"⚠ Possible Duplicate",""))</f>
        <v/>
      </c>
      <c r="N469" s="10" t="n"/>
    </row>
    <row r="470">
      <c r="A470" s="10" t="n"/>
      <c r="B470" s="10" t="n"/>
      <c r="C470" s="10" t="n"/>
      <c r="D470" s="10" t="n"/>
      <c r="E470" s="10" t="n"/>
      <c r="F470" s="13" t="n"/>
      <c r="G470" s="10" t="n"/>
      <c r="H470" s="10" t="n"/>
      <c r="I470" s="10" t="n"/>
      <c r="J470" s="10" t="n"/>
      <c r="K470" s="10">
        <f>IF(A470="","",TEXT(A470,"yyyy-mm"))</f>
        <v/>
      </c>
      <c r="L470" s="10">
        <f>IF(A470="","",WEEKNUM(A470))</f>
        <v/>
      </c>
      <c r="M470" s="10">
        <f>IF(A470="","",IF(COUNTIFS(A:A,A470,B:B,B470,F:F,F470)&gt;1,"⚠ Possible Duplicate",""))</f>
        <v/>
      </c>
      <c r="N470" s="10" t="n"/>
    </row>
    <row r="471">
      <c r="A471" s="10" t="n"/>
      <c r="B471" s="10" t="n"/>
      <c r="C471" s="10" t="n"/>
      <c r="D471" s="10" t="n"/>
      <c r="E471" s="10" t="n"/>
      <c r="F471" s="13" t="n"/>
      <c r="G471" s="10" t="n"/>
      <c r="H471" s="10" t="n"/>
      <c r="I471" s="10" t="n"/>
      <c r="J471" s="10" t="n"/>
      <c r="K471" s="10">
        <f>IF(A471="","",TEXT(A471,"yyyy-mm"))</f>
        <v/>
      </c>
      <c r="L471" s="10">
        <f>IF(A471="","",WEEKNUM(A471))</f>
        <v/>
      </c>
      <c r="M471" s="10">
        <f>IF(A471="","",IF(COUNTIFS(A:A,A471,B:B,B471,F:F,F471)&gt;1,"⚠ Possible Duplicate",""))</f>
        <v/>
      </c>
      <c r="N471" s="10" t="n"/>
    </row>
    <row r="472">
      <c r="A472" s="10" t="n"/>
      <c r="B472" s="10" t="n"/>
      <c r="C472" s="10" t="n"/>
      <c r="D472" s="10" t="n"/>
      <c r="E472" s="10" t="n"/>
      <c r="F472" s="13" t="n"/>
      <c r="G472" s="10" t="n"/>
      <c r="H472" s="10" t="n"/>
      <c r="I472" s="10" t="n"/>
      <c r="J472" s="10" t="n"/>
      <c r="K472" s="10">
        <f>IF(A472="","",TEXT(A472,"yyyy-mm"))</f>
        <v/>
      </c>
      <c r="L472" s="10">
        <f>IF(A472="","",WEEKNUM(A472))</f>
        <v/>
      </c>
      <c r="M472" s="10">
        <f>IF(A472="","",IF(COUNTIFS(A:A,A472,B:B,B472,F:F,F472)&gt;1,"⚠ Possible Duplicate",""))</f>
        <v/>
      </c>
      <c r="N472" s="10" t="n"/>
    </row>
    <row r="473">
      <c r="A473" s="10" t="n"/>
      <c r="B473" s="10" t="n"/>
      <c r="C473" s="10" t="n"/>
      <c r="D473" s="10" t="n"/>
      <c r="E473" s="10" t="n"/>
      <c r="F473" s="13" t="n"/>
      <c r="G473" s="10" t="n"/>
      <c r="H473" s="10" t="n"/>
      <c r="I473" s="10" t="n"/>
      <c r="J473" s="10" t="n"/>
      <c r="K473" s="10">
        <f>IF(A473="","",TEXT(A473,"yyyy-mm"))</f>
        <v/>
      </c>
      <c r="L473" s="10">
        <f>IF(A473="","",WEEKNUM(A473))</f>
        <v/>
      </c>
      <c r="M473" s="10">
        <f>IF(A473="","",IF(COUNTIFS(A:A,A473,B:B,B473,F:F,F473)&gt;1,"⚠ Possible Duplicate",""))</f>
        <v/>
      </c>
      <c r="N473" s="10" t="n"/>
    </row>
    <row r="474">
      <c r="A474" s="10" t="n"/>
      <c r="B474" s="10" t="n"/>
      <c r="C474" s="10" t="n"/>
      <c r="D474" s="10" t="n"/>
      <c r="E474" s="10" t="n"/>
      <c r="F474" s="13" t="n"/>
      <c r="G474" s="10" t="n"/>
      <c r="H474" s="10" t="n"/>
      <c r="I474" s="10" t="n"/>
      <c r="J474" s="10" t="n"/>
      <c r="K474" s="10">
        <f>IF(A474="","",TEXT(A474,"yyyy-mm"))</f>
        <v/>
      </c>
      <c r="L474" s="10">
        <f>IF(A474="","",WEEKNUM(A474))</f>
        <v/>
      </c>
      <c r="M474" s="10">
        <f>IF(A474="","",IF(COUNTIFS(A:A,A474,B:B,B474,F:F,F474)&gt;1,"⚠ Possible Duplicate",""))</f>
        <v/>
      </c>
      <c r="N474" s="10" t="n"/>
    </row>
    <row r="475">
      <c r="A475" s="10" t="n"/>
      <c r="B475" s="10" t="n"/>
      <c r="C475" s="10" t="n"/>
      <c r="D475" s="10" t="n"/>
      <c r="E475" s="10" t="n"/>
      <c r="F475" s="13" t="n"/>
      <c r="G475" s="10" t="n"/>
      <c r="H475" s="10" t="n"/>
      <c r="I475" s="10" t="n"/>
      <c r="J475" s="10" t="n"/>
      <c r="K475" s="10">
        <f>IF(A475="","",TEXT(A475,"yyyy-mm"))</f>
        <v/>
      </c>
      <c r="L475" s="10">
        <f>IF(A475="","",WEEKNUM(A475))</f>
        <v/>
      </c>
      <c r="M475" s="10">
        <f>IF(A475="","",IF(COUNTIFS(A:A,A475,B:B,B475,F:F,F475)&gt;1,"⚠ Possible Duplicate",""))</f>
        <v/>
      </c>
      <c r="N475" s="10" t="n"/>
    </row>
    <row r="476">
      <c r="A476" s="10" t="n"/>
      <c r="B476" s="10" t="n"/>
      <c r="C476" s="10" t="n"/>
      <c r="D476" s="10" t="n"/>
      <c r="E476" s="10" t="n"/>
      <c r="F476" s="13" t="n"/>
      <c r="G476" s="10" t="n"/>
      <c r="H476" s="10" t="n"/>
      <c r="I476" s="10" t="n"/>
      <c r="J476" s="10" t="n"/>
      <c r="K476" s="10">
        <f>IF(A476="","",TEXT(A476,"yyyy-mm"))</f>
        <v/>
      </c>
      <c r="L476" s="10">
        <f>IF(A476="","",WEEKNUM(A476))</f>
        <v/>
      </c>
      <c r="M476" s="10">
        <f>IF(A476="","",IF(COUNTIFS(A:A,A476,B:B,B476,F:F,F476)&gt;1,"⚠ Possible Duplicate",""))</f>
        <v/>
      </c>
      <c r="N476" s="10" t="n"/>
    </row>
    <row r="477">
      <c r="A477" s="10" t="n"/>
      <c r="B477" s="10" t="n"/>
      <c r="C477" s="10" t="n"/>
      <c r="D477" s="10" t="n"/>
      <c r="E477" s="10" t="n"/>
      <c r="F477" s="13" t="n"/>
      <c r="G477" s="10" t="n"/>
      <c r="H477" s="10" t="n"/>
      <c r="I477" s="10" t="n"/>
      <c r="J477" s="10" t="n"/>
      <c r="K477" s="10">
        <f>IF(A477="","",TEXT(A477,"yyyy-mm"))</f>
        <v/>
      </c>
      <c r="L477" s="10">
        <f>IF(A477="","",WEEKNUM(A477))</f>
        <v/>
      </c>
      <c r="M477" s="10">
        <f>IF(A477="","",IF(COUNTIFS(A:A,A477,B:B,B477,F:F,F477)&gt;1,"⚠ Possible Duplicate",""))</f>
        <v/>
      </c>
      <c r="N477" s="10" t="n"/>
    </row>
    <row r="478">
      <c r="A478" s="10" t="n"/>
      <c r="B478" s="10" t="n"/>
      <c r="C478" s="10" t="n"/>
      <c r="D478" s="10" t="n"/>
      <c r="E478" s="10" t="n"/>
      <c r="F478" s="13" t="n"/>
      <c r="G478" s="10" t="n"/>
      <c r="H478" s="10" t="n"/>
      <c r="I478" s="10" t="n"/>
      <c r="J478" s="10" t="n"/>
      <c r="K478" s="10">
        <f>IF(A478="","",TEXT(A478,"yyyy-mm"))</f>
        <v/>
      </c>
      <c r="L478" s="10">
        <f>IF(A478="","",WEEKNUM(A478))</f>
        <v/>
      </c>
      <c r="M478" s="10">
        <f>IF(A478="","",IF(COUNTIFS(A:A,A478,B:B,B478,F:F,F478)&gt;1,"⚠ Possible Duplicate",""))</f>
        <v/>
      </c>
      <c r="N478" s="10" t="n"/>
    </row>
    <row r="479">
      <c r="A479" s="10" t="n"/>
      <c r="B479" s="10" t="n"/>
      <c r="C479" s="10" t="n"/>
      <c r="D479" s="10" t="n"/>
      <c r="E479" s="10" t="n"/>
      <c r="F479" s="13" t="n"/>
      <c r="G479" s="10" t="n"/>
      <c r="H479" s="10" t="n"/>
      <c r="I479" s="10" t="n"/>
      <c r="J479" s="10" t="n"/>
      <c r="K479" s="10">
        <f>IF(A479="","",TEXT(A479,"yyyy-mm"))</f>
        <v/>
      </c>
      <c r="L479" s="10">
        <f>IF(A479="","",WEEKNUM(A479))</f>
        <v/>
      </c>
      <c r="M479" s="10">
        <f>IF(A479="","",IF(COUNTIFS(A:A,A479,B:B,B479,F:F,F479)&gt;1,"⚠ Possible Duplicate",""))</f>
        <v/>
      </c>
      <c r="N479" s="10" t="n"/>
    </row>
    <row r="480">
      <c r="A480" s="10" t="n"/>
      <c r="B480" s="10" t="n"/>
      <c r="C480" s="10" t="n"/>
      <c r="D480" s="10" t="n"/>
      <c r="E480" s="10" t="n"/>
      <c r="F480" s="13" t="n"/>
      <c r="G480" s="10" t="n"/>
      <c r="H480" s="10" t="n"/>
      <c r="I480" s="10" t="n"/>
      <c r="J480" s="10" t="n"/>
      <c r="K480" s="10">
        <f>IF(A480="","",TEXT(A480,"yyyy-mm"))</f>
        <v/>
      </c>
      <c r="L480" s="10">
        <f>IF(A480="","",WEEKNUM(A480))</f>
        <v/>
      </c>
      <c r="M480" s="10">
        <f>IF(A480="","",IF(COUNTIFS(A:A,A480,B:B,B480,F:F,F480)&gt;1,"⚠ Possible Duplicate",""))</f>
        <v/>
      </c>
      <c r="N480" s="10" t="n"/>
    </row>
    <row r="481">
      <c r="A481" s="10" t="n"/>
      <c r="B481" s="10" t="n"/>
      <c r="C481" s="10" t="n"/>
      <c r="D481" s="10" t="n"/>
      <c r="E481" s="10" t="n"/>
      <c r="F481" s="13" t="n"/>
      <c r="G481" s="10" t="n"/>
      <c r="H481" s="10" t="n"/>
      <c r="I481" s="10" t="n"/>
      <c r="J481" s="10" t="n"/>
      <c r="K481" s="10">
        <f>IF(A481="","",TEXT(A481,"yyyy-mm"))</f>
        <v/>
      </c>
      <c r="L481" s="10">
        <f>IF(A481="","",WEEKNUM(A481))</f>
        <v/>
      </c>
      <c r="M481" s="10">
        <f>IF(A481="","",IF(COUNTIFS(A:A,A481,B:B,B481,F:F,F481)&gt;1,"⚠ Possible Duplicate",""))</f>
        <v/>
      </c>
      <c r="N481" s="10" t="n"/>
    </row>
    <row r="482">
      <c r="A482" s="10" t="n"/>
      <c r="B482" s="10" t="n"/>
      <c r="C482" s="10" t="n"/>
      <c r="D482" s="10" t="n"/>
      <c r="E482" s="10" t="n"/>
      <c r="F482" s="13" t="n"/>
      <c r="G482" s="10" t="n"/>
      <c r="H482" s="10" t="n"/>
      <c r="I482" s="10" t="n"/>
      <c r="J482" s="10" t="n"/>
      <c r="K482" s="10">
        <f>IF(A482="","",TEXT(A482,"yyyy-mm"))</f>
        <v/>
      </c>
      <c r="L482" s="10">
        <f>IF(A482="","",WEEKNUM(A482))</f>
        <v/>
      </c>
      <c r="M482" s="10">
        <f>IF(A482="","",IF(COUNTIFS(A:A,A482,B:B,B482,F:F,F482)&gt;1,"⚠ Possible Duplicate",""))</f>
        <v/>
      </c>
      <c r="N482" s="10" t="n"/>
    </row>
    <row r="483">
      <c r="A483" s="10" t="n"/>
      <c r="B483" s="10" t="n"/>
      <c r="C483" s="10" t="n"/>
      <c r="D483" s="10" t="n"/>
      <c r="E483" s="10" t="n"/>
      <c r="F483" s="13" t="n"/>
      <c r="G483" s="10" t="n"/>
      <c r="H483" s="10" t="n"/>
      <c r="I483" s="10" t="n"/>
      <c r="J483" s="10" t="n"/>
      <c r="K483" s="10">
        <f>IF(A483="","",TEXT(A483,"yyyy-mm"))</f>
        <v/>
      </c>
      <c r="L483" s="10">
        <f>IF(A483="","",WEEKNUM(A483))</f>
        <v/>
      </c>
      <c r="M483" s="10">
        <f>IF(A483="","",IF(COUNTIFS(A:A,A483,B:B,B483,F:F,F483)&gt;1,"⚠ Possible Duplicate",""))</f>
        <v/>
      </c>
      <c r="N483" s="10" t="n"/>
    </row>
    <row r="484">
      <c r="A484" s="10" t="n"/>
      <c r="B484" s="10" t="n"/>
      <c r="C484" s="10" t="n"/>
      <c r="D484" s="10" t="n"/>
      <c r="E484" s="10" t="n"/>
      <c r="F484" s="13" t="n"/>
      <c r="G484" s="10" t="n"/>
      <c r="H484" s="10" t="n"/>
      <c r="I484" s="10" t="n"/>
      <c r="J484" s="10" t="n"/>
      <c r="K484" s="10">
        <f>IF(A484="","",TEXT(A484,"yyyy-mm"))</f>
        <v/>
      </c>
      <c r="L484" s="10">
        <f>IF(A484="","",WEEKNUM(A484))</f>
        <v/>
      </c>
      <c r="M484" s="10">
        <f>IF(A484="","",IF(COUNTIFS(A:A,A484,B:B,B484,F:F,F484)&gt;1,"⚠ Possible Duplicate",""))</f>
        <v/>
      </c>
      <c r="N484" s="10" t="n"/>
    </row>
    <row r="485">
      <c r="A485" s="10" t="n"/>
      <c r="B485" s="10" t="n"/>
      <c r="C485" s="10" t="n"/>
      <c r="D485" s="10" t="n"/>
      <c r="E485" s="10" t="n"/>
      <c r="F485" s="13" t="n"/>
      <c r="G485" s="10" t="n"/>
      <c r="H485" s="10" t="n"/>
      <c r="I485" s="10" t="n"/>
      <c r="J485" s="10" t="n"/>
      <c r="K485" s="10">
        <f>IF(A485="","",TEXT(A485,"yyyy-mm"))</f>
        <v/>
      </c>
      <c r="L485" s="10">
        <f>IF(A485="","",WEEKNUM(A485))</f>
        <v/>
      </c>
      <c r="M485" s="10">
        <f>IF(A485="","",IF(COUNTIFS(A:A,A485,B:B,B485,F:F,F485)&gt;1,"⚠ Possible Duplicate",""))</f>
        <v/>
      </c>
      <c r="N485" s="10" t="n"/>
    </row>
    <row r="486">
      <c r="A486" s="10" t="n"/>
      <c r="B486" s="10" t="n"/>
      <c r="C486" s="10" t="n"/>
      <c r="D486" s="10" t="n"/>
      <c r="E486" s="10" t="n"/>
      <c r="F486" s="13" t="n"/>
      <c r="G486" s="10" t="n"/>
      <c r="H486" s="10" t="n"/>
      <c r="I486" s="10" t="n"/>
      <c r="J486" s="10" t="n"/>
      <c r="K486" s="10">
        <f>IF(A486="","",TEXT(A486,"yyyy-mm"))</f>
        <v/>
      </c>
      <c r="L486" s="10">
        <f>IF(A486="","",WEEKNUM(A486))</f>
        <v/>
      </c>
      <c r="M486" s="10">
        <f>IF(A486="","",IF(COUNTIFS(A:A,A486,B:B,B486,F:F,F486)&gt;1,"⚠ Possible Duplicate",""))</f>
        <v/>
      </c>
      <c r="N486" s="10" t="n"/>
    </row>
    <row r="487">
      <c r="A487" s="10" t="n"/>
      <c r="B487" s="10" t="n"/>
      <c r="C487" s="10" t="n"/>
      <c r="D487" s="10" t="n"/>
      <c r="E487" s="10" t="n"/>
      <c r="F487" s="13" t="n"/>
      <c r="G487" s="10" t="n"/>
      <c r="H487" s="10" t="n"/>
      <c r="I487" s="10" t="n"/>
      <c r="J487" s="10" t="n"/>
      <c r="K487" s="10">
        <f>IF(A487="","",TEXT(A487,"yyyy-mm"))</f>
        <v/>
      </c>
      <c r="L487" s="10">
        <f>IF(A487="","",WEEKNUM(A487))</f>
        <v/>
      </c>
      <c r="M487" s="10">
        <f>IF(A487="","",IF(COUNTIFS(A:A,A487,B:B,B487,F:F,F487)&gt;1,"⚠ Possible Duplicate",""))</f>
        <v/>
      </c>
      <c r="N487" s="10" t="n"/>
    </row>
    <row r="488">
      <c r="A488" s="10" t="n"/>
      <c r="B488" s="10" t="n"/>
      <c r="C488" s="10" t="n"/>
      <c r="D488" s="10" t="n"/>
      <c r="E488" s="10" t="n"/>
      <c r="F488" s="13" t="n"/>
      <c r="G488" s="10" t="n"/>
      <c r="H488" s="10" t="n"/>
      <c r="I488" s="10" t="n"/>
      <c r="J488" s="10" t="n"/>
      <c r="K488" s="10">
        <f>IF(A488="","",TEXT(A488,"yyyy-mm"))</f>
        <v/>
      </c>
      <c r="L488" s="10">
        <f>IF(A488="","",WEEKNUM(A488))</f>
        <v/>
      </c>
      <c r="M488" s="10">
        <f>IF(A488="","",IF(COUNTIFS(A:A,A488,B:B,B488,F:F,F488)&gt;1,"⚠ Possible Duplicate",""))</f>
        <v/>
      </c>
      <c r="N488" s="10" t="n"/>
    </row>
    <row r="489">
      <c r="A489" s="10" t="n"/>
      <c r="B489" s="10" t="n"/>
      <c r="C489" s="10" t="n"/>
      <c r="D489" s="10" t="n"/>
      <c r="E489" s="10" t="n"/>
      <c r="F489" s="13" t="n"/>
      <c r="G489" s="10" t="n"/>
      <c r="H489" s="10" t="n"/>
      <c r="I489" s="10" t="n"/>
      <c r="J489" s="10" t="n"/>
      <c r="K489" s="10">
        <f>IF(A489="","",TEXT(A489,"yyyy-mm"))</f>
        <v/>
      </c>
      <c r="L489" s="10">
        <f>IF(A489="","",WEEKNUM(A489))</f>
        <v/>
      </c>
      <c r="M489" s="10">
        <f>IF(A489="","",IF(COUNTIFS(A:A,A489,B:B,B489,F:F,F489)&gt;1,"⚠ Possible Duplicate",""))</f>
        <v/>
      </c>
      <c r="N489" s="10" t="n"/>
    </row>
    <row r="490">
      <c r="A490" s="10" t="n"/>
      <c r="B490" s="10" t="n"/>
      <c r="C490" s="10" t="n"/>
      <c r="D490" s="10" t="n"/>
      <c r="E490" s="10" t="n"/>
      <c r="F490" s="13" t="n"/>
      <c r="G490" s="10" t="n"/>
      <c r="H490" s="10" t="n"/>
      <c r="I490" s="10" t="n"/>
      <c r="J490" s="10" t="n"/>
      <c r="K490" s="10">
        <f>IF(A490="","",TEXT(A490,"yyyy-mm"))</f>
        <v/>
      </c>
      <c r="L490" s="10">
        <f>IF(A490="","",WEEKNUM(A490))</f>
        <v/>
      </c>
      <c r="M490" s="10">
        <f>IF(A490="","",IF(COUNTIFS(A:A,A490,B:B,B490,F:F,F490)&gt;1,"⚠ Possible Duplicate",""))</f>
        <v/>
      </c>
      <c r="N490" s="10" t="n"/>
    </row>
    <row r="491">
      <c r="A491" s="10" t="n"/>
      <c r="B491" s="10" t="n"/>
      <c r="C491" s="10" t="n"/>
      <c r="D491" s="10" t="n"/>
      <c r="E491" s="10" t="n"/>
      <c r="F491" s="13" t="n"/>
      <c r="G491" s="10" t="n"/>
      <c r="H491" s="10" t="n"/>
      <c r="I491" s="10" t="n"/>
      <c r="J491" s="10" t="n"/>
      <c r="K491" s="10">
        <f>IF(A491="","",TEXT(A491,"yyyy-mm"))</f>
        <v/>
      </c>
      <c r="L491" s="10">
        <f>IF(A491="","",WEEKNUM(A491))</f>
        <v/>
      </c>
      <c r="M491" s="10">
        <f>IF(A491="","",IF(COUNTIFS(A:A,A491,B:B,B491,F:F,F491)&gt;1,"⚠ Possible Duplicate",""))</f>
        <v/>
      </c>
      <c r="N491" s="10" t="n"/>
    </row>
    <row r="492">
      <c r="A492" s="10" t="n"/>
      <c r="B492" s="10" t="n"/>
      <c r="C492" s="10" t="n"/>
      <c r="D492" s="10" t="n"/>
      <c r="E492" s="10" t="n"/>
      <c r="F492" s="13" t="n"/>
      <c r="G492" s="10" t="n"/>
      <c r="H492" s="10" t="n"/>
      <c r="I492" s="10" t="n"/>
      <c r="J492" s="10" t="n"/>
      <c r="K492" s="10">
        <f>IF(A492="","",TEXT(A492,"yyyy-mm"))</f>
        <v/>
      </c>
      <c r="L492" s="10">
        <f>IF(A492="","",WEEKNUM(A492))</f>
        <v/>
      </c>
      <c r="M492" s="10">
        <f>IF(A492="","",IF(COUNTIFS(A:A,A492,B:B,B492,F:F,F492)&gt;1,"⚠ Possible Duplicate",""))</f>
        <v/>
      </c>
      <c r="N492" s="10" t="n"/>
    </row>
    <row r="493">
      <c r="A493" s="10" t="n"/>
      <c r="B493" s="10" t="n"/>
      <c r="C493" s="10" t="n"/>
      <c r="D493" s="10" t="n"/>
      <c r="E493" s="10" t="n"/>
      <c r="F493" s="13" t="n"/>
      <c r="G493" s="10" t="n"/>
      <c r="H493" s="10" t="n"/>
      <c r="I493" s="10" t="n"/>
      <c r="J493" s="10" t="n"/>
      <c r="K493" s="10">
        <f>IF(A493="","",TEXT(A493,"yyyy-mm"))</f>
        <v/>
      </c>
      <c r="L493" s="10">
        <f>IF(A493="","",WEEKNUM(A493))</f>
        <v/>
      </c>
      <c r="M493" s="10">
        <f>IF(A493="","",IF(COUNTIFS(A:A,A493,B:B,B493,F:F,F493)&gt;1,"⚠ Possible Duplicate",""))</f>
        <v/>
      </c>
      <c r="N493" s="10" t="n"/>
    </row>
    <row r="494">
      <c r="A494" s="10" t="n"/>
      <c r="B494" s="10" t="n"/>
      <c r="C494" s="10" t="n"/>
      <c r="D494" s="10" t="n"/>
      <c r="E494" s="10" t="n"/>
      <c r="F494" s="13" t="n"/>
      <c r="G494" s="10" t="n"/>
      <c r="H494" s="10" t="n"/>
      <c r="I494" s="10" t="n"/>
      <c r="J494" s="10" t="n"/>
      <c r="K494" s="10">
        <f>IF(A494="","",TEXT(A494,"yyyy-mm"))</f>
        <v/>
      </c>
      <c r="L494" s="10">
        <f>IF(A494="","",WEEKNUM(A494))</f>
        <v/>
      </c>
      <c r="M494" s="10">
        <f>IF(A494="","",IF(COUNTIFS(A:A,A494,B:B,B494,F:F,F494)&gt;1,"⚠ Possible Duplicate",""))</f>
        <v/>
      </c>
      <c r="N494" s="10" t="n"/>
    </row>
    <row r="495">
      <c r="A495" s="10" t="n"/>
      <c r="B495" s="10" t="n"/>
      <c r="C495" s="10" t="n"/>
      <c r="D495" s="10" t="n"/>
      <c r="E495" s="10" t="n"/>
      <c r="F495" s="13" t="n"/>
      <c r="G495" s="10" t="n"/>
      <c r="H495" s="10" t="n"/>
      <c r="I495" s="10" t="n"/>
      <c r="J495" s="10" t="n"/>
      <c r="K495" s="10">
        <f>IF(A495="","",TEXT(A495,"yyyy-mm"))</f>
        <v/>
      </c>
      <c r="L495" s="10">
        <f>IF(A495="","",WEEKNUM(A495))</f>
        <v/>
      </c>
      <c r="M495" s="10">
        <f>IF(A495="","",IF(COUNTIFS(A:A,A495,B:B,B495,F:F,F495)&gt;1,"⚠ Possible Duplicate",""))</f>
        <v/>
      </c>
      <c r="N495" s="10" t="n"/>
    </row>
    <row r="496">
      <c r="A496" s="10" t="n"/>
      <c r="B496" s="10" t="n"/>
      <c r="C496" s="10" t="n"/>
      <c r="D496" s="10" t="n"/>
      <c r="E496" s="10" t="n"/>
      <c r="F496" s="13" t="n"/>
      <c r="G496" s="10" t="n"/>
      <c r="H496" s="10" t="n"/>
      <c r="I496" s="10" t="n"/>
      <c r="J496" s="10" t="n"/>
      <c r="K496" s="10">
        <f>IF(A496="","",TEXT(A496,"yyyy-mm"))</f>
        <v/>
      </c>
      <c r="L496" s="10">
        <f>IF(A496="","",WEEKNUM(A496))</f>
        <v/>
      </c>
      <c r="M496" s="10">
        <f>IF(A496="","",IF(COUNTIFS(A:A,A496,B:B,B496,F:F,F496)&gt;1,"⚠ Possible Duplicate",""))</f>
        <v/>
      </c>
      <c r="N496" s="10" t="n"/>
    </row>
    <row r="497">
      <c r="A497" s="10" t="n"/>
      <c r="B497" s="10" t="n"/>
      <c r="C497" s="10" t="n"/>
      <c r="D497" s="10" t="n"/>
      <c r="E497" s="10" t="n"/>
      <c r="F497" s="13" t="n"/>
      <c r="G497" s="10" t="n"/>
      <c r="H497" s="10" t="n"/>
      <c r="I497" s="10" t="n"/>
      <c r="J497" s="10" t="n"/>
      <c r="K497" s="10">
        <f>IF(A497="","",TEXT(A497,"yyyy-mm"))</f>
        <v/>
      </c>
      <c r="L497" s="10">
        <f>IF(A497="","",WEEKNUM(A497))</f>
        <v/>
      </c>
      <c r="M497" s="10">
        <f>IF(A497="","",IF(COUNTIFS(A:A,A497,B:B,B497,F:F,F497)&gt;1,"⚠ Possible Duplicate",""))</f>
        <v/>
      </c>
      <c r="N497" s="10" t="n"/>
    </row>
    <row r="498">
      <c r="A498" s="10" t="n"/>
      <c r="B498" s="10" t="n"/>
      <c r="C498" s="10" t="n"/>
      <c r="D498" s="10" t="n"/>
      <c r="E498" s="10" t="n"/>
      <c r="F498" s="13" t="n"/>
      <c r="G498" s="10" t="n"/>
      <c r="H498" s="10" t="n"/>
      <c r="I498" s="10" t="n"/>
      <c r="J498" s="10" t="n"/>
      <c r="K498" s="10">
        <f>IF(A498="","",TEXT(A498,"yyyy-mm"))</f>
        <v/>
      </c>
      <c r="L498" s="10">
        <f>IF(A498="","",WEEKNUM(A498))</f>
        <v/>
      </c>
      <c r="M498" s="10">
        <f>IF(A498="","",IF(COUNTIFS(A:A,A498,B:B,B498,F:F,F498)&gt;1,"⚠ Possible Duplicate",""))</f>
        <v/>
      </c>
      <c r="N498" s="10" t="n"/>
    </row>
    <row r="499">
      <c r="A499" s="10" t="n"/>
      <c r="B499" s="10" t="n"/>
      <c r="C499" s="10" t="n"/>
      <c r="D499" s="10" t="n"/>
      <c r="E499" s="10" t="n"/>
      <c r="F499" s="13" t="n"/>
      <c r="G499" s="10" t="n"/>
      <c r="H499" s="10" t="n"/>
      <c r="I499" s="10" t="n"/>
      <c r="J499" s="10" t="n"/>
      <c r="K499" s="10">
        <f>IF(A499="","",TEXT(A499,"yyyy-mm"))</f>
        <v/>
      </c>
      <c r="L499" s="10">
        <f>IF(A499="","",WEEKNUM(A499))</f>
        <v/>
      </c>
      <c r="M499" s="10">
        <f>IF(A499="","",IF(COUNTIFS(A:A,A499,B:B,B499,F:F,F499)&gt;1,"⚠ Possible Duplicate",""))</f>
        <v/>
      </c>
      <c r="N499" s="10" t="n"/>
    </row>
    <row r="500">
      <c r="A500" s="10" t="n"/>
      <c r="B500" s="10" t="n"/>
      <c r="C500" s="10" t="n"/>
      <c r="D500" s="10" t="n"/>
      <c r="E500" s="10" t="n"/>
      <c r="F500" s="13" t="n"/>
      <c r="G500" s="10" t="n"/>
      <c r="H500" s="10" t="n"/>
      <c r="I500" s="10" t="n"/>
      <c r="J500" s="10" t="n"/>
      <c r="K500" s="10">
        <f>IF(A500="","",TEXT(A500,"yyyy-mm"))</f>
        <v/>
      </c>
      <c r="L500" s="10">
        <f>IF(A500="","",WEEKNUM(A500))</f>
        <v/>
      </c>
      <c r="M500" s="10">
        <f>IF(A500="","",IF(COUNTIFS(A:A,A500,B:B,B500,F:F,F500)&gt;1,"⚠ Possible Duplicate",""))</f>
        <v/>
      </c>
      <c r="N500" s="10" t="n"/>
    </row>
    <row r="501">
      <c r="A501" s="10" t="n"/>
      <c r="B501" s="10" t="n"/>
      <c r="C501" s="10" t="n"/>
      <c r="D501" s="10" t="n"/>
      <c r="E501" s="10" t="n"/>
      <c r="F501" s="13" t="n"/>
      <c r="G501" s="10" t="n"/>
      <c r="H501" s="10" t="n"/>
      <c r="I501" s="10" t="n"/>
      <c r="J501" s="10" t="n"/>
      <c r="K501" s="10">
        <f>IF(A501="","",TEXT(A501,"yyyy-mm"))</f>
        <v/>
      </c>
      <c r="L501" s="10">
        <f>IF(A501="","",WEEKNUM(A501))</f>
        <v/>
      </c>
      <c r="M501" s="10">
        <f>IF(A501="","",IF(COUNTIFS(A:A,A501,B:B,B501,F:F,F501)&gt;1,"⚠ Possible Duplicate",""))</f>
        <v/>
      </c>
      <c r="N501" s="10" t="n"/>
    </row>
    <row r="502">
      <c r="A502" s="10" t="n"/>
      <c r="B502" s="10" t="n"/>
      <c r="C502" s="10" t="n"/>
      <c r="D502" s="10" t="n"/>
      <c r="E502" s="10" t="n"/>
      <c r="F502" s="13" t="n"/>
      <c r="G502" s="10" t="n"/>
      <c r="H502" s="10" t="n"/>
      <c r="I502" s="10" t="n"/>
      <c r="J502" s="10" t="n"/>
      <c r="K502" s="10">
        <f>IF(A502="","",TEXT(A502,"yyyy-mm"))</f>
        <v/>
      </c>
      <c r="L502" s="10">
        <f>IF(A502="","",WEEKNUM(A502))</f>
        <v/>
      </c>
      <c r="M502" s="10">
        <f>IF(A502="","",IF(COUNTIFS(A:A,A502,B:B,B502,F:F,F502)&gt;1,"⚠ Possible Duplicate",""))</f>
        <v/>
      </c>
      <c r="N502" s="10" t="n"/>
    </row>
    <row r="503">
      <c r="A503" s="10" t="n"/>
      <c r="B503" s="10" t="n"/>
      <c r="C503" s="10" t="n"/>
      <c r="D503" s="10" t="n"/>
      <c r="E503" s="10" t="n"/>
      <c r="F503" s="13" t="n"/>
      <c r="G503" s="10" t="n"/>
      <c r="H503" s="10" t="n"/>
      <c r="I503" s="10" t="n"/>
      <c r="J503" s="10" t="n"/>
      <c r="K503" s="10">
        <f>IF(A503="","",TEXT(A503,"yyyy-mm"))</f>
        <v/>
      </c>
      <c r="L503" s="10">
        <f>IF(A503="","",WEEKNUM(A503))</f>
        <v/>
      </c>
      <c r="M503" s="10">
        <f>IF(A503="","",IF(COUNTIFS(A:A,A503,B:B,B503,F:F,F503)&gt;1,"⚠ Possible Duplicate",""))</f>
        <v/>
      </c>
      <c r="N503" s="10" t="n"/>
    </row>
    <row r="504">
      <c r="A504" s="10" t="n"/>
      <c r="B504" s="10" t="n"/>
      <c r="C504" s="10" t="n"/>
      <c r="D504" s="10" t="n"/>
      <c r="E504" s="10" t="n"/>
      <c r="F504" s="13" t="n"/>
      <c r="G504" s="10" t="n"/>
      <c r="H504" s="10" t="n"/>
      <c r="I504" s="10" t="n"/>
      <c r="J504" s="10" t="n"/>
      <c r="K504" s="10">
        <f>IF(A504="","",TEXT(A504,"yyyy-mm"))</f>
        <v/>
      </c>
      <c r="L504" s="10">
        <f>IF(A504="","",WEEKNUM(A504))</f>
        <v/>
      </c>
      <c r="M504" s="10">
        <f>IF(A504="","",IF(COUNTIFS(A:A,A504,B:B,B504,F:F,F504)&gt;1,"⚠ Possible Duplicate",""))</f>
        <v/>
      </c>
      <c r="N504" s="10" t="n"/>
    </row>
    <row r="505">
      <c r="A505" s="10" t="n"/>
      <c r="B505" s="10" t="n"/>
      <c r="C505" s="10" t="n"/>
      <c r="D505" s="10" t="n"/>
      <c r="E505" s="10" t="n"/>
      <c r="F505" s="13" t="n"/>
      <c r="G505" s="10" t="n"/>
      <c r="H505" s="10" t="n"/>
      <c r="I505" s="10" t="n"/>
      <c r="J505" s="10" t="n"/>
      <c r="K505" s="10">
        <f>IF(A505="","",TEXT(A505,"yyyy-mm"))</f>
        <v/>
      </c>
      <c r="L505" s="10">
        <f>IF(A505="","",WEEKNUM(A505))</f>
        <v/>
      </c>
      <c r="M505" s="10">
        <f>IF(A505="","",IF(COUNTIFS(A:A,A505,B:B,B505,F:F,F505)&gt;1,"⚠ Possible Duplicate",""))</f>
        <v/>
      </c>
      <c r="N505" s="10" t="n"/>
    </row>
    <row r="506">
      <c r="A506" s="10" t="n"/>
      <c r="B506" s="10" t="n"/>
      <c r="C506" s="10" t="n"/>
      <c r="D506" s="10" t="n"/>
      <c r="E506" s="10" t="n"/>
      <c r="F506" s="13" t="n"/>
      <c r="G506" s="10" t="n"/>
      <c r="H506" s="10" t="n"/>
      <c r="I506" s="10" t="n"/>
      <c r="J506" s="10" t="n"/>
      <c r="K506" s="10">
        <f>IF(A506="","",TEXT(A506,"yyyy-mm"))</f>
        <v/>
      </c>
      <c r="L506" s="10">
        <f>IF(A506="","",WEEKNUM(A506))</f>
        <v/>
      </c>
      <c r="M506" s="10">
        <f>IF(A506="","",IF(COUNTIFS(A:A,A506,B:B,B506,F:F,F506)&gt;1,"⚠ Possible Duplicate",""))</f>
        <v/>
      </c>
      <c r="N506" s="10" t="n"/>
    </row>
    <row r="507">
      <c r="A507" s="10" t="n"/>
      <c r="B507" s="10" t="n"/>
      <c r="C507" s="10" t="n"/>
      <c r="D507" s="10" t="n"/>
      <c r="E507" s="10" t="n"/>
      <c r="F507" s="13" t="n"/>
      <c r="G507" s="10" t="n"/>
      <c r="H507" s="10" t="n"/>
      <c r="I507" s="10" t="n"/>
      <c r="J507" s="10" t="n"/>
      <c r="K507" s="10">
        <f>IF(A507="","",TEXT(A507,"yyyy-mm"))</f>
        <v/>
      </c>
      <c r="L507" s="10">
        <f>IF(A507="","",WEEKNUM(A507))</f>
        <v/>
      </c>
      <c r="M507" s="10">
        <f>IF(A507="","",IF(COUNTIFS(A:A,A507,B:B,B507,F:F,F507)&gt;1,"⚠ Possible Duplicate",""))</f>
        <v/>
      </c>
      <c r="N507" s="10" t="n"/>
    </row>
    <row r="508">
      <c r="A508" s="10" t="n"/>
      <c r="B508" s="10" t="n"/>
      <c r="C508" s="10" t="n"/>
      <c r="D508" s="10" t="n"/>
      <c r="E508" s="10" t="n"/>
      <c r="F508" s="13" t="n"/>
      <c r="G508" s="10" t="n"/>
      <c r="H508" s="10" t="n"/>
      <c r="I508" s="10" t="n"/>
      <c r="J508" s="10" t="n"/>
      <c r="K508" s="10">
        <f>IF(A508="","",TEXT(A508,"yyyy-mm"))</f>
        <v/>
      </c>
      <c r="L508" s="10">
        <f>IF(A508="","",WEEKNUM(A508))</f>
        <v/>
      </c>
      <c r="M508" s="10">
        <f>IF(A508="","",IF(COUNTIFS(A:A,A508,B:B,B508,F:F,F508)&gt;1,"⚠ Possible Duplicate",""))</f>
        <v/>
      </c>
      <c r="N508" s="10" t="n"/>
    </row>
    <row r="509">
      <c r="A509" s="10" t="n"/>
      <c r="B509" s="10" t="n"/>
      <c r="C509" s="10" t="n"/>
      <c r="D509" s="10" t="n"/>
      <c r="E509" s="10" t="n"/>
      <c r="F509" s="13" t="n"/>
      <c r="G509" s="10" t="n"/>
      <c r="H509" s="10" t="n"/>
      <c r="I509" s="10" t="n"/>
      <c r="J509" s="10" t="n"/>
      <c r="K509" s="10">
        <f>IF(A509="","",TEXT(A509,"yyyy-mm"))</f>
        <v/>
      </c>
      <c r="L509" s="10">
        <f>IF(A509="","",WEEKNUM(A509))</f>
        <v/>
      </c>
      <c r="M509" s="10">
        <f>IF(A509="","",IF(COUNTIFS(A:A,A509,B:B,B509,F:F,F509)&gt;1,"⚠ Possible Duplicate",""))</f>
        <v/>
      </c>
      <c r="N509" s="10" t="n"/>
    </row>
    <row r="510">
      <c r="A510" s="10" t="n"/>
      <c r="B510" s="10" t="n"/>
      <c r="C510" s="10" t="n"/>
      <c r="D510" s="10" t="n"/>
      <c r="E510" s="10" t="n"/>
      <c r="F510" s="13" t="n"/>
      <c r="G510" s="10" t="n"/>
      <c r="H510" s="10" t="n"/>
      <c r="I510" s="10" t="n"/>
      <c r="J510" s="10" t="n"/>
      <c r="K510" s="10">
        <f>IF(A510="","",TEXT(A510,"yyyy-mm"))</f>
        <v/>
      </c>
      <c r="L510" s="10">
        <f>IF(A510="","",WEEKNUM(A510))</f>
        <v/>
      </c>
      <c r="M510" s="10">
        <f>IF(A510="","",IF(COUNTIFS(A:A,A510,B:B,B510,F:F,F510)&gt;1,"⚠ Possible Duplicate",""))</f>
        <v/>
      </c>
      <c r="N510" s="10" t="n"/>
    </row>
    <row r="511">
      <c r="A511" s="10" t="n"/>
      <c r="B511" s="10" t="n"/>
      <c r="C511" s="10" t="n"/>
      <c r="D511" s="10" t="n"/>
      <c r="E511" s="10" t="n"/>
      <c r="F511" s="13" t="n"/>
      <c r="G511" s="10" t="n"/>
      <c r="H511" s="10" t="n"/>
      <c r="I511" s="10" t="n"/>
      <c r="J511" s="10" t="n"/>
      <c r="K511" s="10">
        <f>IF(A511="","",TEXT(A511,"yyyy-mm"))</f>
        <v/>
      </c>
      <c r="L511" s="10">
        <f>IF(A511="","",WEEKNUM(A511))</f>
        <v/>
      </c>
      <c r="M511" s="10">
        <f>IF(A511="","",IF(COUNTIFS(A:A,A511,B:B,B511,F:F,F511)&gt;1,"⚠ Possible Duplicate",""))</f>
        <v/>
      </c>
      <c r="N511" s="10" t="n"/>
    </row>
    <row r="512">
      <c r="A512" s="10" t="n"/>
      <c r="B512" s="10" t="n"/>
      <c r="C512" s="10" t="n"/>
      <c r="D512" s="10" t="n"/>
      <c r="E512" s="10" t="n"/>
      <c r="F512" s="13" t="n"/>
      <c r="G512" s="10" t="n"/>
      <c r="H512" s="10" t="n"/>
      <c r="I512" s="10" t="n"/>
      <c r="J512" s="10" t="n"/>
      <c r="K512" s="10">
        <f>IF(A512="","",TEXT(A512,"yyyy-mm"))</f>
        <v/>
      </c>
      <c r="L512" s="10">
        <f>IF(A512="","",WEEKNUM(A512))</f>
        <v/>
      </c>
      <c r="M512" s="10">
        <f>IF(A512="","",IF(COUNTIFS(A:A,A512,B:B,B512,F:F,F512)&gt;1,"⚠ Possible Duplicate",""))</f>
        <v/>
      </c>
      <c r="N512" s="10" t="n"/>
    </row>
    <row r="513">
      <c r="A513" s="10" t="n"/>
      <c r="B513" s="10" t="n"/>
      <c r="C513" s="10" t="n"/>
      <c r="D513" s="10" t="n"/>
      <c r="E513" s="10" t="n"/>
      <c r="F513" s="13" t="n"/>
      <c r="G513" s="10" t="n"/>
      <c r="H513" s="10" t="n"/>
      <c r="I513" s="10" t="n"/>
      <c r="J513" s="10" t="n"/>
      <c r="K513" s="10">
        <f>IF(A513="","",TEXT(A513,"yyyy-mm"))</f>
        <v/>
      </c>
      <c r="L513" s="10">
        <f>IF(A513="","",WEEKNUM(A513))</f>
        <v/>
      </c>
      <c r="M513" s="10">
        <f>IF(A513="","",IF(COUNTIFS(A:A,A513,B:B,B513,F:F,F513)&gt;1,"⚠ Possible Duplicate",""))</f>
        <v/>
      </c>
      <c r="N513" s="10" t="n"/>
    </row>
    <row r="514">
      <c r="A514" s="10" t="n"/>
      <c r="B514" s="10" t="n"/>
      <c r="C514" s="10" t="n"/>
      <c r="D514" s="10" t="n"/>
      <c r="E514" s="10" t="n"/>
      <c r="F514" s="13" t="n"/>
      <c r="G514" s="10" t="n"/>
      <c r="H514" s="10" t="n"/>
      <c r="I514" s="10" t="n"/>
      <c r="J514" s="10" t="n"/>
      <c r="K514" s="10">
        <f>IF(A514="","",TEXT(A514,"yyyy-mm"))</f>
        <v/>
      </c>
      <c r="L514" s="10">
        <f>IF(A514="","",WEEKNUM(A514))</f>
        <v/>
      </c>
      <c r="M514" s="10">
        <f>IF(A514="","",IF(COUNTIFS(A:A,A514,B:B,B514,F:F,F514)&gt;1,"⚠ Possible Duplicate",""))</f>
        <v/>
      </c>
      <c r="N514" s="10" t="n"/>
    </row>
    <row r="515">
      <c r="A515" s="10" t="n"/>
      <c r="B515" s="10" t="n"/>
      <c r="C515" s="10" t="n"/>
      <c r="D515" s="10" t="n"/>
      <c r="E515" s="10" t="n"/>
      <c r="F515" s="13" t="n"/>
      <c r="G515" s="10" t="n"/>
      <c r="H515" s="10" t="n"/>
      <c r="I515" s="10" t="n"/>
      <c r="J515" s="10" t="n"/>
      <c r="K515" s="10">
        <f>IF(A515="","",TEXT(A515,"yyyy-mm"))</f>
        <v/>
      </c>
      <c r="L515" s="10">
        <f>IF(A515="","",WEEKNUM(A515))</f>
        <v/>
      </c>
      <c r="M515" s="10">
        <f>IF(A515="","",IF(COUNTIFS(A:A,A515,B:B,B515,F:F,F515)&gt;1,"⚠ Possible Duplicate",""))</f>
        <v/>
      </c>
      <c r="N515" s="10" t="n"/>
    </row>
    <row r="516">
      <c r="A516" s="10" t="n"/>
      <c r="B516" s="10" t="n"/>
      <c r="C516" s="10" t="n"/>
      <c r="D516" s="10" t="n"/>
      <c r="E516" s="10" t="n"/>
      <c r="F516" s="13" t="n"/>
      <c r="G516" s="10" t="n"/>
      <c r="H516" s="10" t="n"/>
      <c r="I516" s="10" t="n"/>
      <c r="J516" s="10" t="n"/>
      <c r="K516" s="10">
        <f>IF(A516="","",TEXT(A516,"yyyy-mm"))</f>
        <v/>
      </c>
      <c r="L516" s="10">
        <f>IF(A516="","",WEEKNUM(A516))</f>
        <v/>
      </c>
      <c r="M516" s="10">
        <f>IF(A516="","",IF(COUNTIFS(A:A,A516,B:B,B516,F:F,F516)&gt;1,"⚠ Possible Duplicate",""))</f>
        <v/>
      </c>
      <c r="N516" s="10" t="n"/>
    </row>
    <row r="517">
      <c r="A517" s="10" t="n"/>
      <c r="B517" s="10" t="n"/>
      <c r="C517" s="10" t="n"/>
      <c r="D517" s="10" t="n"/>
      <c r="E517" s="10" t="n"/>
      <c r="F517" s="13" t="n"/>
      <c r="G517" s="10" t="n"/>
      <c r="H517" s="10" t="n"/>
      <c r="I517" s="10" t="n"/>
      <c r="J517" s="10" t="n"/>
      <c r="K517" s="10">
        <f>IF(A517="","",TEXT(A517,"yyyy-mm"))</f>
        <v/>
      </c>
      <c r="L517" s="10">
        <f>IF(A517="","",WEEKNUM(A517))</f>
        <v/>
      </c>
      <c r="M517" s="10">
        <f>IF(A517="","",IF(COUNTIFS(A:A,A517,B:B,B517,F:F,F517)&gt;1,"⚠ Possible Duplicate",""))</f>
        <v/>
      </c>
      <c r="N517" s="10" t="n"/>
    </row>
    <row r="518">
      <c r="A518" s="10" t="n"/>
      <c r="B518" s="10" t="n"/>
      <c r="C518" s="10" t="n"/>
      <c r="D518" s="10" t="n"/>
      <c r="E518" s="10" t="n"/>
      <c r="F518" s="13" t="n"/>
      <c r="G518" s="10" t="n"/>
      <c r="H518" s="10" t="n"/>
      <c r="I518" s="10" t="n"/>
      <c r="J518" s="10" t="n"/>
      <c r="K518" s="10">
        <f>IF(A518="","",TEXT(A518,"yyyy-mm"))</f>
        <v/>
      </c>
      <c r="L518" s="10">
        <f>IF(A518="","",WEEKNUM(A518))</f>
        <v/>
      </c>
      <c r="M518" s="10">
        <f>IF(A518="","",IF(COUNTIFS(A:A,A518,B:B,B518,F:F,F518)&gt;1,"⚠ Possible Duplicate",""))</f>
        <v/>
      </c>
      <c r="N518" s="10" t="n"/>
    </row>
    <row r="519">
      <c r="A519" s="10" t="n"/>
      <c r="B519" s="10" t="n"/>
      <c r="C519" s="10" t="n"/>
      <c r="D519" s="10" t="n"/>
      <c r="E519" s="10" t="n"/>
      <c r="F519" s="13" t="n"/>
      <c r="G519" s="10" t="n"/>
      <c r="H519" s="10" t="n"/>
      <c r="I519" s="10" t="n"/>
      <c r="J519" s="10" t="n"/>
      <c r="K519" s="10">
        <f>IF(A519="","",TEXT(A519,"yyyy-mm"))</f>
        <v/>
      </c>
      <c r="L519" s="10">
        <f>IF(A519="","",WEEKNUM(A519))</f>
        <v/>
      </c>
      <c r="M519" s="10">
        <f>IF(A519="","",IF(COUNTIFS(A:A,A519,B:B,B519,F:F,F519)&gt;1,"⚠ Possible Duplicate",""))</f>
        <v/>
      </c>
      <c r="N519" s="10" t="n"/>
    </row>
    <row r="520">
      <c r="A520" s="10" t="n"/>
      <c r="B520" s="10" t="n"/>
      <c r="C520" s="10" t="n"/>
      <c r="D520" s="10" t="n"/>
      <c r="E520" s="10" t="n"/>
      <c r="F520" s="13" t="n"/>
      <c r="G520" s="10" t="n"/>
      <c r="H520" s="10" t="n"/>
      <c r="I520" s="10" t="n"/>
      <c r="J520" s="10" t="n"/>
      <c r="K520" s="10">
        <f>IF(A520="","",TEXT(A520,"yyyy-mm"))</f>
        <v/>
      </c>
      <c r="L520" s="10">
        <f>IF(A520="","",WEEKNUM(A520))</f>
        <v/>
      </c>
      <c r="M520" s="10">
        <f>IF(A520="","",IF(COUNTIFS(A:A,A520,B:B,B520,F:F,F520)&gt;1,"⚠ Possible Duplicate",""))</f>
        <v/>
      </c>
      <c r="N520" s="10" t="n"/>
    </row>
    <row r="521">
      <c r="A521" s="10" t="n"/>
      <c r="B521" s="10" t="n"/>
      <c r="C521" s="10" t="n"/>
      <c r="D521" s="10" t="n"/>
      <c r="E521" s="10" t="n"/>
      <c r="F521" s="13" t="n"/>
      <c r="G521" s="10" t="n"/>
      <c r="H521" s="10" t="n"/>
      <c r="I521" s="10" t="n"/>
      <c r="J521" s="10" t="n"/>
      <c r="K521" s="10">
        <f>IF(A521="","",TEXT(A521,"yyyy-mm"))</f>
        <v/>
      </c>
      <c r="L521" s="10">
        <f>IF(A521="","",WEEKNUM(A521))</f>
        <v/>
      </c>
      <c r="M521" s="10">
        <f>IF(A521="","",IF(COUNTIFS(A:A,A521,B:B,B521,F:F,F521)&gt;1,"⚠ Possible Duplicate",""))</f>
        <v/>
      </c>
      <c r="N521" s="10" t="n"/>
    </row>
    <row r="522">
      <c r="A522" s="10" t="n"/>
      <c r="B522" s="10" t="n"/>
      <c r="C522" s="10" t="n"/>
      <c r="D522" s="10" t="n"/>
      <c r="E522" s="10" t="n"/>
      <c r="F522" s="13" t="n"/>
      <c r="G522" s="10" t="n"/>
      <c r="H522" s="10" t="n"/>
      <c r="I522" s="10" t="n"/>
      <c r="J522" s="10" t="n"/>
      <c r="K522" s="10">
        <f>IF(A522="","",TEXT(A522,"yyyy-mm"))</f>
        <v/>
      </c>
      <c r="L522" s="10">
        <f>IF(A522="","",WEEKNUM(A522))</f>
        <v/>
      </c>
      <c r="M522" s="10">
        <f>IF(A522="","",IF(COUNTIFS(A:A,A522,B:B,B522,F:F,F522)&gt;1,"⚠ Possible Duplicate",""))</f>
        <v/>
      </c>
      <c r="N522" s="10" t="n"/>
    </row>
    <row r="523">
      <c r="A523" s="10" t="n"/>
      <c r="B523" s="10" t="n"/>
      <c r="C523" s="10" t="n"/>
      <c r="D523" s="10" t="n"/>
      <c r="E523" s="10" t="n"/>
      <c r="F523" s="13" t="n"/>
      <c r="G523" s="10" t="n"/>
      <c r="H523" s="10" t="n"/>
      <c r="I523" s="10" t="n"/>
      <c r="J523" s="10" t="n"/>
      <c r="K523" s="10">
        <f>IF(A523="","",TEXT(A523,"yyyy-mm"))</f>
        <v/>
      </c>
      <c r="L523" s="10">
        <f>IF(A523="","",WEEKNUM(A523))</f>
        <v/>
      </c>
      <c r="M523" s="10">
        <f>IF(A523="","",IF(COUNTIFS(A:A,A523,B:B,B523,F:F,F523)&gt;1,"⚠ Possible Duplicate",""))</f>
        <v/>
      </c>
      <c r="N523" s="10" t="n"/>
    </row>
    <row r="524">
      <c r="A524" s="10" t="n"/>
      <c r="B524" s="10" t="n"/>
      <c r="C524" s="10" t="n"/>
      <c r="D524" s="10" t="n"/>
      <c r="E524" s="10" t="n"/>
      <c r="F524" s="13" t="n"/>
      <c r="G524" s="10" t="n"/>
      <c r="H524" s="10" t="n"/>
      <c r="I524" s="10" t="n"/>
      <c r="J524" s="10" t="n"/>
      <c r="K524" s="10">
        <f>IF(A524="","",TEXT(A524,"yyyy-mm"))</f>
        <v/>
      </c>
      <c r="L524" s="10">
        <f>IF(A524="","",WEEKNUM(A524))</f>
        <v/>
      </c>
      <c r="M524" s="10">
        <f>IF(A524="","",IF(COUNTIFS(A:A,A524,B:B,B524,F:F,F524)&gt;1,"⚠ Possible Duplicate",""))</f>
        <v/>
      </c>
      <c r="N524" s="10" t="n"/>
    </row>
    <row r="525">
      <c r="A525" s="10" t="n"/>
      <c r="B525" s="10" t="n"/>
      <c r="C525" s="10" t="n"/>
      <c r="D525" s="10" t="n"/>
      <c r="E525" s="10" t="n"/>
      <c r="F525" s="13" t="n"/>
      <c r="G525" s="10" t="n"/>
      <c r="H525" s="10" t="n"/>
      <c r="I525" s="10" t="n"/>
      <c r="J525" s="10" t="n"/>
      <c r="K525" s="10">
        <f>IF(A525="","",TEXT(A525,"yyyy-mm"))</f>
        <v/>
      </c>
      <c r="L525" s="10">
        <f>IF(A525="","",WEEKNUM(A525))</f>
        <v/>
      </c>
      <c r="M525" s="10">
        <f>IF(A525="","",IF(COUNTIFS(A:A,A525,B:B,B525,F:F,F525)&gt;1,"⚠ Possible Duplicate",""))</f>
        <v/>
      </c>
      <c r="N525" s="10" t="n"/>
    </row>
    <row r="526">
      <c r="A526" s="10" t="n"/>
      <c r="B526" s="10" t="n"/>
      <c r="C526" s="10" t="n"/>
      <c r="D526" s="10" t="n"/>
      <c r="E526" s="10" t="n"/>
      <c r="F526" s="13" t="n"/>
      <c r="G526" s="10" t="n"/>
      <c r="H526" s="10" t="n"/>
      <c r="I526" s="10" t="n"/>
      <c r="J526" s="10" t="n"/>
      <c r="K526" s="10">
        <f>IF(A526="","",TEXT(A526,"yyyy-mm"))</f>
        <v/>
      </c>
      <c r="L526" s="10">
        <f>IF(A526="","",WEEKNUM(A526))</f>
        <v/>
      </c>
      <c r="M526" s="10">
        <f>IF(A526="","",IF(COUNTIFS(A:A,A526,B:B,B526,F:F,F526)&gt;1,"⚠ Possible Duplicate",""))</f>
        <v/>
      </c>
      <c r="N526" s="10" t="n"/>
    </row>
    <row r="527">
      <c r="A527" s="10" t="n"/>
      <c r="B527" s="10" t="n"/>
      <c r="C527" s="10" t="n"/>
      <c r="D527" s="10" t="n"/>
      <c r="E527" s="10" t="n"/>
      <c r="F527" s="13" t="n"/>
      <c r="G527" s="10" t="n"/>
      <c r="H527" s="10" t="n"/>
      <c r="I527" s="10" t="n"/>
      <c r="J527" s="10" t="n"/>
      <c r="K527" s="10">
        <f>IF(A527="","",TEXT(A527,"yyyy-mm"))</f>
        <v/>
      </c>
      <c r="L527" s="10">
        <f>IF(A527="","",WEEKNUM(A527))</f>
        <v/>
      </c>
      <c r="M527" s="10">
        <f>IF(A527="","",IF(COUNTIFS(A:A,A527,B:B,B527,F:F,F527)&gt;1,"⚠ Possible Duplicate",""))</f>
        <v/>
      </c>
      <c r="N527" s="10" t="n"/>
    </row>
    <row r="528">
      <c r="A528" s="10" t="n"/>
      <c r="B528" s="10" t="n"/>
      <c r="C528" s="10" t="n"/>
      <c r="D528" s="10" t="n"/>
      <c r="E528" s="10" t="n"/>
      <c r="F528" s="13" t="n"/>
      <c r="G528" s="10" t="n"/>
      <c r="H528" s="10" t="n"/>
      <c r="I528" s="10" t="n"/>
      <c r="J528" s="10" t="n"/>
      <c r="K528" s="10">
        <f>IF(A528="","",TEXT(A528,"yyyy-mm"))</f>
        <v/>
      </c>
      <c r="L528" s="10">
        <f>IF(A528="","",WEEKNUM(A528))</f>
        <v/>
      </c>
      <c r="M528" s="10">
        <f>IF(A528="","",IF(COUNTIFS(A:A,A528,B:B,B528,F:F,F528)&gt;1,"⚠ Possible Duplicate",""))</f>
        <v/>
      </c>
      <c r="N528" s="10" t="n"/>
    </row>
    <row r="529">
      <c r="A529" s="10" t="n"/>
      <c r="B529" s="10" t="n"/>
      <c r="C529" s="10" t="n"/>
      <c r="D529" s="10" t="n"/>
      <c r="E529" s="10" t="n"/>
      <c r="F529" s="13" t="n"/>
      <c r="G529" s="10" t="n"/>
      <c r="H529" s="10" t="n"/>
      <c r="I529" s="10" t="n"/>
      <c r="J529" s="10" t="n"/>
      <c r="K529" s="10">
        <f>IF(A529="","",TEXT(A529,"yyyy-mm"))</f>
        <v/>
      </c>
      <c r="L529" s="10">
        <f>IF(A529="","",WEEKNUM(A529))</f>
        <v/>
      </c>
      <c r="M529" s="10">
        <f>IF(A529="","",IF(COUNTIFS(A:A,A529,B:B,B529,F:F,F529)&gt;1,"⚠ Possible Duplicate",""))</f>
        <v/>
      </c>
      <c r="N529" s="10" t="n"/>
    </row>
    <row r="530">
      <c r="A530" s="10" t="n"/>
      <c r="B530" s="10" t="n"/>
      <c r="C530" s="10" t="n"/>
      <c r="D530" s="10" t="n"/>
      <c r="E530" s="10" t="n"/>
      <c r="F530" s="13" t="n"/>
      <c r="G530" s="10" t="n"/>
      <c r="H530" s="10" t="n"/>
      <c r="I530" s="10" t="n"/>
      <c r="J530" s="10" t="n"/>
      <c r="K530" s="10">
        <f>IF(A530="","",TEXT(A530,"yyyy-mm"))</f>
        <v/>
      </c>
      <c r="L530" s="10">
        <f>IF(A530="","",WEEKNUM(A530))</f>
        <v/>
      </c>
      <c r="M530" s="10">
        <f>IF(A530="","",IF(COUNTIFS(A:A,A530,B:B,B530,F:F,F530)&gt;1,"⚠ Possible Duplicate",""))</f>
        <v/>
      </c>
      <c r="N530" s="10" t="n"/>
    </row>
    <row r="531">
      <c r="A531" s="10" t="n"/>
      <c r="B531" s="10" t="n"/>
      <c r="C531" s="10" t="n"/>
      <c r="D531" s="10" t="n"/>
      <c r="E531" s="10" t="n"/>
      <c r="F531" s="13" t="n"/>
      <c r="G531" s="10" t="n"/>
      <c r="H531" s="10" t="n"/>
      <c r="I531" s="10" t="n"/>
      <c r="J531" s="10" t="n"/>
      <c r="K531" s="10">
        <f>IF(A531="","",TEXT(A531,"yyyy-mm"))</f>
        <v/>
      </c>
      <c r="L531" s="10">
        <f>IF(A531="","",WEEKNUM(A531))</f>
        <v/>
      </c>
      <c r="M531" s="10">
        <f>IF(A531="","",IF(COUNTIFS(A:A,A531,B:B,B531,F:F,F531)&gt;1,"⚠ Possible Duplicate",""))</f>
        <v/>
      </c>
      <c r="N531" s="10" t="n"/>
    </row>
    <row r="532">
      <c r="A532" s="10" t="n"/>
      <c r="B532" s="10" t="n"/>
      <c r="C532" s="10" t="n"/>
      <c r="D532" s="10" t="n"/>
      <c r="E532" s="10" t="n"/>
      <c r="F532" s="13" t="n"/>
      <c r="G532" s="10" t="n"/>
      <c r="H532" s="10" t="n"/>
      <c r="I532" s="10" t="n"/>
      <c r="J532" s="10" t="n"/>
      <c r="K532" s="10">
        <f>IF(A532="","",TEXT(A532,"yyyy-mm"))</f>
        <v/>
      </c>
      <c r="L532" s="10">
        <f>IF(A532="","",WEEKNUM(A532))</f>
        <v/>
      </c>
      <c r="M532" s="10">
        <f>IF(A532="","",IF(COUNTIFS(A:A,A532,B:B,B532,F:F,F532)&gt;1,"⚠ Possible Duplicate",""))</f>
        <v/>
      </c>
      <c r="N532" s="10" t="n"/>
    </row>
    <row r="533">
      <c r="A533" s="10" t="n"/>
      <c r="B533" s="10" t="n"/>
      <c r="C533" s="10" t="n"/>
      <c r="D533" s="10" t="n"/>
      <c r="E533" s="10" t="n"/>
      <c r="F533" s="13" t="n"/>
      <c r="G533" s="10" t="n"/>
      <c r="H533" s="10" t="n"/>
      <c r="I533" s="10" t="n"/>
      <c r="J533" s="10" t="n"/>
      <c r="K533" s="10">
        <f>IF(A533="","",TEXT(A533,"yyyy-mm"))</f>
        <v/>
      </c>
      <c r="L533" s="10">
        <f>IF(A533="","",WEEKNUM(A533))</f>
        <v/>
      </c>
      <c r="M533" s="10">
        <f>IF(A533="","",IF(COUNTIFS(A:A,A533,B:B,B533,F:F,F533)&gt;1,"⚠ Possible Duplicate",""))</f>
        <v/>
      </c>
      <c r="N533" s="10" t="n"/>
    </row>
    <row r="534">
      <c r="A534" s="10" t="n"/>
      <c r="B534" s="10" t="n"/>
      <c r="C534" s="10" t="n"/>
      <c r="D534" s="10" t="n"/>
      <c r="E534" s="10" t="n"/>
      <c r="F534" s="13" t="n"/>
      <c r="G534" s="10" t="n"/>
      <c r="H534" s="10" t="n"/>
      <c r="I534" s="10" t="n"/>
      <c r="J534" s="10" t="n"/>
      <c r="K534" s="10">
        <f>IF(A534="","",TEXT(A534,"yyyy-mm"))</f>
        <v/>
      </c>
      <c r="L534" s="10">
        <f>IF(A534="","",WEEKNUM(A534))</f>
        <v/>
      </c>
      <c r="M534" s="10">
        <f>IF(A534="","",IF(COUNTIFS(A:A,A534,B:B,B534,F:F,F534)&gt;1,"⚠ Possible Duplicate",""))</f>
        <v/>
      </c>
      <c r="N534" s="10" t="n"/>
    </row>
    <row r="535">
      <c r="A535" s="10" t="n"/>
      <c r="B535" s="10" t="n"/>
      <c r="C535" s="10" t="n"/>
      <c r="D535" s="10" t="n"/>
      <c r="E535" s="10" t="n"/>
      <c r="F535" s="13" t="n"/>
      <c r="G535" s="10" t="n"/>
      <c r="H535" s="10" t="n"/>
      <c r="I535" s="10" t="n"/>
      <c r="J535" s="10" t="n"/>
      <c r="K535" s="10">
        <f>IF(A535="","",TEXT(A535,"yyyy-mm"))</f>
        <v/>
      </c>
      <c r="L535" s="10">
        <f>IF(A535="","",WEEKNUM(A535))</f>
        <v/>
      </c>
      <c r="M535" s="10">
        <f>IF(A535="","",IF(COUNTIFS(A:A,A535,B:B,B535,F:F,F535)&gt;1,"⚠ Possible Duplicate",""))</f>
        <v/>
      </c>
      <c r="N535" s="10" t="n"/>
    </row>
    <row r="536">
      <c r="A536" s="10" t="n"/>
      <c r="B536" s="10" t="n"/>
      <c r="C536" s="10" t="n"/>
      <c r="D536" s="10" t="n"/>
      <c r="E536" s="10" t="n"/>
      <c r="F536" s="13" t="n"/>
      <c r="G536" s="10" t="n"/>
      <c r="H536" s="10" t="n"/>
      <c r="I536" s="10" t="n"/>
      <c r="J536" s="10" t="n"/>
      <c r="K536" s="10">
        <f>IF(A536="","",TEXT(A536,"yyyy-mm"))</f>
        <v/>
      </c>
      <c r="L536" s="10">
        <f>IF(A536="","",WEEKNUM(A536))</f>
        <v/>
      </c>
      <c r="M536" s="10">
        <f>IF(A536="","",IF(COUNTIFS(A:A,A536,B:B,B536,F:F,F536)&gt;1,"⚠ Possible Duplicate",""))</f>
        <v/>
      </c>
      <c r="N536" s="10" t="n"/>
    </row>
    <row r="537">
      <c r="A537" s="10" t="n"/>
      <c r="B537" s="10" t="n"/>
      <c r="C537" s="10" t="n"/>
      <c r="D537" s="10" t="n"/>
      <c r="E537" s="10" t="n"/>
      <c r="F537" s="13" t="n"/>
      <c r="G537" s="10" t="n"/>
      <c r="H537" s="10" t="n"/>
      <c r="I537" s="10" t="n"/>
      <c r="J537" s="10" t="n"/>
      <c r="K537" s="10">
        <f>IF(A537="","",TEXT(A537,"yyyy-mm"))</f>
        <v/>
      </c>
      <c r="L537" s="10">
        <f>IF(A537="","",WEEKNUM(A537))</f>
        <v/>
      </c>
      <c r="M537" s="10">
        <f>IF(A537="","",IF(COUNTIFS(A:A,A537,B:B,B537,F:F,F537)&gt;1,"⚠ Possible Duplicate",""))</f>
        <v/>
      </c>
      <c r="N537" s="10" t="n"/>
    </row>
    <row r="538">
      <c r="A538" s="10" t="n"/>
      <c r="B538" s="10" t="n"/>
      <c r="C538" s="10" t="n"/>
      <c r="D538" s="10" t="n"/>
      <c r="E538" s="10" t="n"/>
      <c r="F538" s="13" t="n"/>
      <c r="G538" s="10" t="n"/>
      <c r="H538" s="10" t="n"/>
      <c r="I538" s="10" t="n"/>
      <c r="J538" s="10" t="n"/>
      <c r="K538" s="10">
        <f>IF(A538="","",TEXT(A538,"yyyy-mm"))</f>
        <v/>
      </c>
      <c r="L538" s="10">
        <f>IF(A538="","",WEEKNUM(A538))</f>
        <v/>
      </c>
      <c r="M538" s="10">
        <f>IF(A538="","",IF(COUNTIFS(A:A,A538,B:B,B538,F:F,F538)&gt;1,"⚠ Possible Duplicate",""))</f>
        <v/>
      </c>
      <c r="N538" s="10" t="n"/>
    </row>
    <row r="539">
      <c r="A539" s="10" t="n"/>
      <c r="B539" s="10" t="n"/>
      <c r="C539" s="10" t="n"/>
      <c r="D539" s="10" t="n"/>
      <c r="E539" s="10" t="n"/>
      <c r="F539" s="13" t="n"/>
      <c r="G539" s="10" t="n"/>
      <c r="H539" s="10" t="n"/>
      <c r="I539" s="10" t="n"/>
      <c r="J539" s="10" t="n"/>
      <c r="K539" s="10">
        <f>IF(A539="","",TEXT(A539,"yyyy-mm"))</f>
        <v/>
      </c>
      <c r="L539" s="10">
        <f>IF(A539="","",WEEKNUM(A539))</f>
        <v/>
      </c>
      <c r="M539" s="10">
        <f>IF(A539="","",IF(COUNTIFS(A:A,A539,B:B,B539,F:F,F539)&gt;1,"⚠ Possible Duplicate",""))</f>
        <v/>
      </c>
      <c r="N539" s="10" t="n"/>
    </row>
    <row r="540">
      <c r="A540" s="10" t="n"/>
      <c r="B540" s="10" t="n"/>
      <c r="C540" s="10" t="n"/>
      <c r="D540" s="10" t="n"/>
      <c r="E540" s="10" t="n"/>
      <c r="F540" s="13" t="n"/>
      <c r="G540" s="10" t="n"/>
      <c r="H540" s="10" t="n"/>
      <c r="I540" s="10" t="n"/>
      <c r="J540" s="10" t="n"/>
      <c r="K540" s="10">
        <f>IF(A540="","",TEXT(A540,"yyyy-mm"))</f>
        <v/>
      </c>
      <c r="L540" s="10">
        <f>IF(A540="","",WEEKNUM(A540))</f>
        <v/>
      </c>
      <c r="M540" s="10">
        <f>IF(A540="","",IF(COUNTIFS(A:A,A540,B:B,B540,F:F,F540)&gt;1,"⚠ Possible Duplicate",""))</f>
        <v/>
      </c>
      <c r="N540" s="10" t="n"/>
    </row>
    <row r="541">
      <c r="A541" s="10" t="n"/>
      <c r="B541" s="10" t="n"/>
      <c r="C541" s="10" t="n"/>
      <c r="D541" s="10" t="n"/>
      <c r="E541" s="10" t="n"/>
      <c r="F541" s="13" t="n"/>
      <c r="G541" s="10" t="n"/>
      <c r="H541" s="10" t="n"/>
      <c r="I541" s="10" t="n"/>
      <c r="J541" s="10" t="n"/>
      <c r="K541" s="10">
        <f>IF(A541="","",TEXT(A541,"yyyy-mm"))</f>
        <v/>
      </c>
      <c r="L541" s="10">
        <f>IF(A541="","",WEEKNUM(A541))</f>
        <v/>
      </c>
      <c r="M541" s="10">
        <f>IF(A541="","",IF(COUNTIFS(A:A,A541,B:B,B541,F:F,F541)&gt;1,"⚠ Possible Duplicate",""))</f>
        <v/>
      </c>
      <c r="N541" s="10" t="n"/>
    </row>
    <row r="542">
      <c r="A542" s="10" t="n"/>
      <c r="B542" s="10" t="n"/>
      <c r="C542" s="10" t="n"/>
      <c r="D542" s="10" t="n"/>
      <c r="E542" s="10" t="n"/>
      <c r="F542" s="13" t="n"/>
      <c r="G542" s="10" t="n"/>
      <c r="H542" s="10" t="n"/>
      <c r="I542" s="10" t="n"/>
      <c r="J542" s="10" t="n"/>
      <c r="K542" s="10">
        <f>IF(A542="","",TEXT(A542,"yyyy-mm"))</f>
        <v/>
      </c>
      <c r="L542" s="10">
        <f>IF(A542="","",WEEKNUM(A542))</f>
        <v/>
      </c>
      <c r="M542" s="10">
        <f>IF(A542="","",IF(COUNTIFS(A:A,A542,B:B,B542,F:F,F542)&gt;1,"⚠ Possible Duplicate",""))</f>
        <v/>
      </c>
      <c r="N542" s="10" t="n"/>
    </row>
    <row r="543">
      <c r="A543" s="10" t="n"/>
      <c r="B543" s="10" t="n"/>
      <c r="C543" s="10" t="n"/>
      <c r="D543" s="10" t="n"/>
      <c r="E543" s="10" t="n"/>
      <c r="F543" s="13" t="n"/>
      <c r="G543" s="10" t="n"/>
      <c r="H543" s="10" t="n"/>
      <c r="I543" s="10" t="n"/>
      <c r="J543" s="10" t="n"/>
      <c r="K543" s="10">
        <f>IF(A543="","",TEXT(A543,"yyyy-mm"))</f>
        <v/>
      </c>
      <c r="L543" s="10">
        <f>IF(A543="","",WEEKNUM(A543))</f>
        <v/>
      </c>
      <c r="M543" s="10">
        <f>IF(A543="","",IF(COUNTIFS(A:A,A543,B:B,B543,F:F,F543)&gt;1,"⚠ Possible Duplicate",""))</f>
        <v/>
      </c>
      <c r="N543" s="10" t="n"/>
    </row>
    <row r="544">
      <c r="A544" s="10" t="n"/>
      <c r="B544" s="10" t="n"/>
      <c r="C544" s="10" t="n"/>
      <c r="D544" s="10" t="n"/>
      <c r="E544" s="10" t="n"/>
      <c r="F544" s="13" t="n"/>
      <c r="G544" s="10" t="n"/>
      <c r="H544" s="10" t="n"/>
      <c r="I544" s="10" t="n"/>
      <c r="J544" s="10" t="n"/>
      <c r="K544" s="10">
        <f>IF(A544="","",TEXT(A544,"yyyy-mm"))</f>
        <v/>
      </c>
      <c r="L544" s="10">
        <f>IF(A544="","",WEEKNUM(A544))</f>
        <v/>
      </c>
      <c r="M544" s="10">
        <f>IF(A544="","",IF(COUNTIFS(A:A,A544,B:B,B544,F:F,F544)&gt;1,"⚠ Possible Duplicate",""))</f>
        <v/>
      </c>
      <c r="N544" s="10" t="n"/>
    </row>
    <row r="545">
      <c r="A545" s="10" t="n"/>
      <c r="B545" s="10" t="n"/>
      <c r="C545" s="10" t="n"/>
      <c r="D545" s="10" t="n"/>
      <c r="E545" s="10" t="n"/>
      <c r="F545" s="13" t="n"/>
      <c r="G545" s="10" t="n"/>
      <c r="H545" s="10" t="n"/>
      <c r="I545" s="10" t="n"/>
      <c r="J545" s="10" t="n"/>
      <c r="K545" s="10">
        <f>IF(A545="","",TEXT(A545,"yyyy-mm"))</f>
        <v/>
      </c>
      <c r="L545" s="10">
        <f>IF(A545="","",WEEKNUM(A545))</f>
        <v/>
      </c>
      <c r="M545" s="10">
        <f>IF(A545="","",IF(COUNTIFS(A:A,A545,B:B,B545,F:F,F545)&gt;1,"⚠ Possible Duplicate",""))</f>
        <v/>
      </c>
      <c r="N545" s="10" t="n"/>
    </row>
    <row r="546">
      <c r="A546" s="10" t="n"/>
      <c r="B546" s="10" t="n"/>
      <c r="C546" s="10" t="n"/>
      <c r="D546" s="10" t="n"/>
      <c r="E546" s="10" t="n"/>
      <c r="F546" s="13" t="n"/>
      <c r="G546" s="10" t="n"/>
      <c r="H546" s="10" t="n"/>
      <c r="I546" s="10" t="n"/>
      <c r="J546" s="10" t="n"/>
      <c r="K546" s="10">
        <f>IF(A546="","",TEXT(A546,"yyyy-mm"))</f>
        <v/>
      </c>
      <c r="L546" s="10">
        <f>IF(A546="","",WEEKNUM(A546))</f>
        <v/>
      </c>
      <c r="M546" s="10">
        <f>IF(A546="","",IF(COUNTIFS(A:A,A546,B:B,B546,F:F,F546)&gt;1,"⚠ Possible Duplicate",""))</f>
        <v/>
      </c>
      <c r="N546" s="10" t="n"/>
    </row>
    <row r="547">
      <c r="A547" s="10" t="n"/>
      <c r="B547" s="10" t="n"/>
      <c r="C547" s="10" t="n"/>
      <c r="D547" s="10" t="n"/>
      <c r="E547" s="10" t="n"/>
      <c r="F547" s="13" t="n"/>
      <c r="G547" s="10" t="n"/>
      <c r="H547" s="10" t="n"/>
      <c r="I547" s="10" t="n"/>
      <c r="J547" s="10" t="n"/>
      <c r="K547" s="10">
        <f>IF(A547="","",TEXT(A547,"yyyy-mm"))</f>
        <v/>
      </c>
      <c r="L547" s="10">
        <f>IF(A547="","",WEEKNUM(A547))</f>
        <v/>
      </c>
      <c r="M547" s="10">
        <f>IF(A547="","",IF(COUNTIFS(A:A,A547,B:B,B547,F:F,F547)&gt;1,"⚠ Possible Duplicate",""))</f>
        <v/>
      </c>
      <c r="N547" s="10" t="n"/>
    </row>
    <row r="548">
      <c r="A548" s="10" t="n"/>
      <c r="B548" s="10" t="n"/>
      <c r="C548" s="10" t="n"/>
      <c r="D548" s="10" t="n"/>
      <c r="E548" s="10" t="n"/>
      <c r="F548" s="13" t="n"/>
      <c r="G548" s="10" t="n"/>
      <c r="H548" s="10" t="n"/>
      <c r="I548" s="10" t="n"/>
      <c r="J548" s="10" t="n"/>
      <c r="K548" s="10">
        <f>IF(A548="","",TEXT(A548,"yyyy-mm"))</f>
        <v/>
      </c>
      <c r="L548" s="10">
        <f>IF(A548="","",WEEKNUM(A548))</f>
        <v/>
      </c>
      <c r="M548" s="10">
        <f>IF(A548="","",IF(COUNTIFS(A:A,A548,B:B,B548,F:F,F548)&gt;1,"⚠ Possible Duplicate",""))</f>
        <v/>
      </c>
      <c r="N548" s="10" t="n"/>
    </row>
    <row r="549">
      <c r="A549" s="10" t="n"/>
      <c r="B549" s="10" t="n"/>
      <c r="C549" s="10" t="n"/>
      <c r="D549" s="10" t="n"/>
      <c r="E549" s="10" t="n"/>
      <c r="F549" s="13" t="n"/>
      <c r="G549" s="10" t="n"/>
      <c r="H549" s="10" t="n"/>
      <c r="I549" s="10" t="n"/>
      <c r="J549" s="10" t="n"/>
      <c r="K549" s="10">
        <f>IF(A549="","",TEXT(A549,"yyyy-mm"))</f>
        <v/>
      </c>
      <c r="L549" s="10">
        <f>IF(A549="","",WEEKNUM(A549))</f>
        <v/>
      </c>
      <c r="M549" s="10">
        <f>IF(A549="","",IF(COUNTIFS(A:A,A549,B:B,B549,F:F,F549)&gt;1,"⚠ Possible Duplicate",""))</f>
        <v/>
      </c>
      <c r="N549" s="10" t="n"/>
    </row>
    <row r="550">
      <c r="A550" s="10" t="n"/>
      <c r="B550" s="10" t="n"/>
      <c r="C550" s="10" t="n"/>
      <c r="D550" s="10" t="n"/>
      <c r="E550" s="10" t="n"/>
      <c r="F550" s="13" t="n"/>
      <c r="G550" s="10" t="n"/>
      <c r="H550" s="10" t="n"/>
      <c r="I550" s="10" t="n"/>
      <c r="J550" s="10" t="n"/>
      <c r="K550" s="10">
        <f>IF(A550="","",TEXT(A550,"yyyy-mm"))</f>
        <v/>
      </c>
      <c r="L550" s="10">
        <f>IF(A550="","",WEEKNUM(A550))</f>
        <v/>
      </c>
      <c r="M550" s="10">
        <f>IF(A550="","",IF(COUNTIFS(A:A,A550,B:B,B550,F:F,F550)&gt;1,"⚠ Possible Duplicate",""))</f>
        <v/>
      </c>
      <c r="N550" s="10" t="n"/>
    </row>
    <row r="551">
      <c r="A551" s="10" t="n"/>
      <c r="B551" s="10" t="n"/>
      <c r="C551" s="10" t="n"/>
      <c r="D551" s="10" t="n"/>
      <c r="E551" s="10" t="n"/>
      <c r="F551" s="13" t="n"/>
      <c r="G551" s="10" t="n"/>
      <c r="H551" s="10" t="n"/>
      <c r="I551" s="10" t="n"/>
      <c r="J551" s="10" t="n"/>
      <c r="K551" s="10">
        <f>IF(A551="","",TEXT(A551,"yyyy-mm"))</f>
        <v/>
      </c>
      <c r="L551" s="10">
        <f>IF(A551="","",WEEKNUM(A551))</f>
        <v/>
      </c>
      <c r="M551" s="10">
        <f>IF(A551="","",IF(COUNTIFS(A:A,A551,B:B,B551,F:F,F551)&gt;1,"⚠ Possible Duplicate",""))</f>
        <v/>
      </c>
      <c r="N551" s="10" t="n"/>
    </row>
    <row r="552">
      <c r="A552" s="10" t="n"/>
      <c r="B552" s="10" t="n"/>
      <c r="C552" s="10" t="n"/>
      <c r="D552" s="10" t="n"/>
      <c r="E552" s="10" t="n"/>
      <c r="F552" s="13" t="n"/>
      <c r="G552" s="10" t="n"/>
      <c r="H552" s="10" t="n"/>
      <c r="I552" s="10" t="n"/>
      <c r="J552" s="10" t="n"/>
      <c r="K552" s="10">
        <f>IF(A552="","",TEXT(A552,"yyyy-mm"))</f>
        <v/>
      </c>
      <c r="L552" s="10">
        <f>IF(A552="","",WEEKNUM(A552))</f>
        <v/>
      </c>
      <c r="M552" s="10">
        <f>IF(A552="","",IF(COUNTIFS(A:A,A552,B:B,B552,F:F,F552)&gt;1,"⚠ Possible Duplicate",""))</f>
        <v/>
      </c>
      <c r="N552" s="10" t="n"/>
    </row>
    <row r="553">
      <c r="A553" s="10" t="n"/>
      <c r="B553" s="10" t="n"/>
      <c r="C553" s="10" t="n"/>
      <c r="D553" s="10" t="n"/>
      <c r="E553" s="10" t="n"/>
      <c r="F553" s="13" t="n"/>
      <c r="G553" s="10" t="n"/>
      <c r="H553" s="10" t="n"/>
      <c r="I553" s="10" t="n"/>
      <c r="J553" s="10" t="n"/>
      <c r="K553" s="10">
        <f>IF(A553="","",TEXT(A553,"yyyy-mm"))</f>
        <v/>
      </c>
      <c r="L553" s="10">
        <f>IF(A553="","",WEEKNUM(A553))</f>
        <v/>
      </c>
      <c r="M553" s="10">
        <f>IF(A553="","",IF(COUNTIFS(A:A,A553,B:B,B553,F:F,F553)&gt;1,"⚠ Possible Duplicate",""))</f>
        <v/>
      </c>
      <c r="N553" s="10" t="n"/>
    </row>
    <row r="554">
      <c r="A554" s="10" t="n"/>
      <c r="B554" s="10" t="n"/>
      <c r="C554" s="10" t="n"/>
      <c r="D554" s="10" t="n"/>
      <c r="E554" s="10" t="n"/>
      <c r="F554" s="13" t="n"/>
      <c r="G554" s="10" t="n"/>
      <c r="H554" s="10" t="n"/>
      <c r="I554" s="10" t="n"/>
      <c r="J554" s="10" t="n"/>
      <c r="K554" s="10">
        <f>IF(A554="","",TEXT(A554,"yyyy-mm"))</f>
        <v/>
      </c>
      <c r="L554" s="10">
        <f>IF(A554="","",WEEKNUM(A554))</f>
        <v/>
      </c>
      <c r="M554" s="10">
        <f>IF(A554="","",IF(COUNTIFS(A:A,A554,B:B,B554,F:F,F554)&gt;1,"⚠ Possible Duplicate",""))</f>
        <v/>
      </c>
      <c r="N554" s="10" t="n"/>
    </row>
    <row r="555">
      <c r="A555" s="10" t="n"/>
      <c r="B555" s="10" t="n"/>
      <c r="C555" s="10" t="n"/>
      <c r="D555" s="10" t="n"/>
      <c r="E555" s="10" t="n"/>
      <c r="F555" s="13" t="n"/>
      <c r="G555" s="10" t="n"/>
      <c r="H555" s="10" t="n"/>
      <c r="I555" s="10" t="n"/>
      <c r="J555" s="10" t="n"/>
      <c r="K555" s="10">
        <f>IF(A555="","",TEXT(A555,"yyyy-mm"))</f>
        <v/>
      </c>
      <c r="L555" s="10">
        <f>IF(A555="","",WEEKNUM(A555))</f>
        <v/>
      </c>
      <c r="M555" s="10">
        <f>IF(A555="","",IF(COUNTIFS(A:A,A555,B:B,B555,F:F,F555)&gt;1,"⚠ Possible Duplicate",""))</f>
        <v/>
      </c>
      <c r="N555" s="10" t="n"/>
    </row>
    <row r="556">
      <c r="A556" s="10" t="n"/>
      <c r="B556" s="10" t="n"/>
      <c r="C556" s="10" t="n"/>
      <c r="D556" s="10" t="n"/>
      <c r="E556" s="10" t="n"/>
      <c r="F556" s="13" t="n"/>
      <c r="G556" s="10" t="n"/>
      <c r="H556" s="10" t="n"/>
      <c r="I556" s="10" t="n"/>
      <c r="J556" s="10" t="n"/>
      <c r="K556" s="10">
        <f>IF(A556="","",TEXT(A556,"yyyy-mm"))</f>
        <v/>
      </c>
      <c r="L556" s="10">
        <f>IF(A556="","",WEEKNUM(A556))</f>
        <v/>
      </c>
      <c r="M556" s="10">
        <f>IF(A556="","",IF(COUNTIFS(A:A,A556,B:B,B556,F:F,F556)&gt;1,"⚠ Possible Duplicate",""))</f>
        <v/>
      </c>
      <c r="N556" s="10" t="n"/>
    </row>
    <row r="557">
      <c r="A557" s="10" t="n"/>
      <c r="B557" s="10" t="n"/>
      <c r="C557" s="10" t="n"/>
      <c r="D557" s="10" t="n"/>
      <c r="E557" s="10" t="n"/>
      <c r="F557" s="13" t="n"/>
      <c r="G557" s="10" t="n"/>
      <c r="H557" s="10" t="n"/>
      <c r="I557" s="10" t="n"/>
      <c r="J557" s="10" t="n"/>
      <c r="K557" s="10">
        <f>IF(A557="","",TEXT(A557,"yyyy-mm"))</f>
        <v/>
      </c>
      <c r="L557" s="10">
        <f>IF(A557="","",WEEKNUM(A557))</f>
        <v/>
      </c>
      <c r="M557" s="10">
        <f>IF(A557="","",IF(COUNTIFS(A:A,A557,B:B,B557,F:F,F557)&gt;1,"⚠ Possible Duplicate",""))</f>
        <v/>
      </c>
      <c r="N557" s="10" t="n"/>
    </row>
    <row r="558">
      <c r="A558" s="10" t="n"/>
      <c r="B558" s="10" t="n"/>
      <c r="C558" s="10" t="n"/>
      <c r="D558" s="10" t="n"/>
      <c r="E558" s="10" t="n"/>
      <c r="F558" s="13" t="n"/>
      <c r="G558" s="10" t="n"/>
      <c r="H558" s="10" t="n"/>
      <c r="I558" s="10" t="n"/>
      <c r="J558" s="10" t="n"/>
      <c r="K558" s="10">
        <f>IF(A558="","",TEXT(A558,"yyyy-mm"))</f>
        <v/>
      </c>
      <c r="L558" s="10">
        <f>IF(A558="","",WEEKNUM(A558))</f>
        <v/>
      </c>
      <c r="M558" s="10">
        <f>IF(A558="","",IF(COUNTIFS(A:A,A558,B:B,B558,F:F,F558)&gt;1,"⚠ Possible Duplicate",""))</f>
        <v/>
      </c>
      <c r="N558" s="10" t="n"/>
    </row>
    <row r="559">
      <c r="A559" s="10" t="n"/>
      <c r="B559" s="10" t="n"/>
      <c r="C559" s="10" t="n"/>
      <c r="D559" s="10" t="n"/>
      <c r="E559" s="10" t="n"/>
      <c r="F559" s="13" t="n"/>
      <c r="G559" s="10" t="n"/>
      <c r="H559" s="10" t="n"/>
      <c r="I559" s="10" t="n"/>
      <c r="J559" s="10" t="n"/>
      <c r="K559" s="10">
        <f>IF(A559="","",TEXT(A559,"yyyy-mm"))</f>
        <v/>
      </c>
      <c r="L559" s="10">
        <f>IF(A559="","",WEEKNUM(A559))</f>
        <v/>
      </c>
      <c r="M559" s="10">
        <f>IF(A559="","",IF(COUNTIFS(A:A,A559,B:B,B559,F:F,F559)&gt;1,"⚠ Possible Duplicate",""))</f>
        <v/>
      </c>
      <c r="N559" s="10" t="n"/>
    </row>
    <row r="560">
      <c r="A560" s="10" t="n"/>
      <c r="B560" s="10" t="n"/>
      <c r="C560" s="10" t="n"/>
      <c r="D560" s="10" t="n"/>
      <c r="E560" s="10" t="n"/>
      <c r="F560" s="13" t="n"/>
      <c r="G560" s="10" t="n"/>
      <c r="H560" s="10" t="n"/>
      <c r="I560" s="10" t="n"/>
      <c r="J560" s="10" t="n"/>
      <c r="K560" s="10">
        <f>IF(A560="","",TEXT(A560,"yyyy-mm"))</f>
        <v/>
      </c>
      <c r="L560" s="10">
        <f>IF(A560="","",WEEKNUM(A560))</f>
        <v/>
      </c>
      <c r="M560" s="10">
        <f>IF(A560="","",IF(COUNTIFS(A:A,A560,B:B,B560,F:F,F560)&gt;1,"⚠ Possible Duplicate",""))</f>
        <v/>
      </c>
      <c r="N560" s="10" t="n"/>
    </row>
    <row r="561">
      <c r="A561" s="10" t="n"/>
      <c r="B561" s="10" t="n"/>
      <c r="C561" s="10" t="n"/>
      <c r="D561" s="10" t="n"/>
      <c r="E561" s="10" t="n"/>
      <c r="F561" s="13" t="n"/>
      <c r="G561" s="10" t="n"/>
      <c r="H561" s="10" t="n"/>
      <c r="I561" s="10" t="n"/>
      <c r="J561" s="10" t="n"/>
      <c r="K561" s="10">
        <f>IF(A561="","",TEXT(A561,"yyyy-mm"))</f>
        <v/>
      </c>
      <c r="L561" s="10">
        <f>IF(A561="","",WEEKNUM(A561))</f>
        <v/>
      </c>
      <c r="M561" s="10">
        <f>IF(A561="","",IF(COUNTIFS(A:A,A561,B:B,B561,F:F,F561)&gt;1,"⚠ Possible Duplicate",""))</f>
        <v/>
      </c>
      <c r="N561" s="10" t="n"/>
    </row>
    <row r="562">
      <c r="A562" s="10" t="n"/>
      <c r="B562" s="10" t="n"/>
      <c r="C562" s="10" t="n"/>
      <c r="D562" s="10" t="n"/>
      <c r="E562" s="10" t="n"/>
      <c r="F562" s="13" t="n"/>
      <c r="G562" s="10" t="n"/>
      <c r="H562" s="10" t="n"/>
      <c r="I562" s="10" t="n"/>
      <c r="J562" s="10" t="n"/>
      <c r="K562" s="10">
        <f>IF(A562="","",TEXT(A562,"yyyy-mm"))</f>
        <v/>
      </c>
      <c r="L562" s="10">
        <f>IF(A562="","",WEEKNUM(A562))</f>
        <v/>
      </c>
      <c r="M562" s="10">
        <f>IF(A562="","",IF(COUNTIFS(A:A,A562,B:B,B562,F:F,F562)&gt;1,"⚠ Possible Duplicate",""))</f>
        <v/>
      </c>
      <c r="N562" s="10" t="n"/>
    </row>
    <row r="563">
      <c r="A563" s="10" t="n"/>
      <c r="B563" s="10" t="n"/>
      <c r="C563" s="10" t="n"/>
      <c r="D563" s="10" t="n"/>
      <c r="E563" s="10" t="n"/>
      <c r="F563" s="13" t="n"/>
      <c r="G563" s="10" t="n"/>
      <c r="H563" s="10" t="n"/>
      <c r="I563" s="10" t="n"/>
      <c r="J563" s="10" t="n"/>
      <c r="K563" s="10">
        <f>IF(A563="","",TEXT(A563,"yyyy-mm"))</f>
        <v/>
      </c>
      <c r="L563" s="10">
        <f>IF(A563="","",WEEKNUM(A563))</f>
        <v/>
      </c>
      <c r="M563" s="10">
        <f>IF(A563="","",IF(COUNTIFS(A:A,A563,B:B,B563,F:F,F563)&gt;1,"⚠ Possible Duplicate",""))</f>
        <v/>
      </c>
      <c r="N563" s="10" t="n"/>
    </row>
    <row r="564">
      <c r="A564" s="10" t="n"/>
      <c r="B564" s="10" t="n"/>
      <c r="C564" s="10" t="n"/>
      <c r="D564" s="10" t="n"/>
      <c r="E564" s="10" t="n"/>
      <c r="F564" s="13" t="n"/>
      <c r="G564" s="10" t="n"/>
      <c r="H564" s="10" t="n"/>
      <c r="I564" s="10" t="n"/>
      <c r="J564" s="10" t="n"/>
      <c r="K564" s="10">
        <f>IF(A564="","",TEXT(A564,"yyyy-mm"))</f>
        <v/>
      </c>
      <c r="L564" s="10">
        <f>IF(A564="","",WEEKNUM(A564))</f>
        <v/>
      </c>
      <c r="M564" s="10">
        <f>IF(A564="","",IF(COUNTIFS(A:A,A564,B:B,B564,F:F,F564)&gt;1,"⚠ Possible Duplicate",""))</f>
        <v/>
      </c>
      <c r="N564" s="10" t="n"/>
    </row>
    <row r="565">
      <c r="A565" s="10" t="n"/>
      <c r="B565" s="10" t="n"/>
      <c r="C565" s="10" t="n"/>
      <c r="D565" s="10" t="n"/>
      <c r="E565" s="10" t="n"/>
      <c r="F565" s="13" t="n"/>
      <c r="G565" s="10" t="n"/>
      <c r="H565" s="10" t="n"/>
      <c r="I565" s="10" t="n"/>
      <c r="J565" s="10" t="n"/>
      <c r="K565" s="10">
        <f>IF(A565="","",TEXT(A565,"yyyy-mm"))</f>
        <v/>
      </c>
      <c r="L565" s="10">
        <f>IF(A565="","",WEEKNUM(A565))</f>
        <v/>
      </c>
      <c r="M565" s="10">
        <f>IF(A565="","",IF(COUNTIFS(A:A,A565,B:B,B565,F:F,F565)&gt;1,"⚠ Possible Duplicate",""))</f>
        <v/>
      </c>
      <c r="N565" s="10" t="n"/>
    </row>
    <row r="566">
      <c r="A566" s="10" t="n"/>
      <c r="B566" s="10" t="n"/>
      <c r="C566" s="10" t="n"/>
      <c r="D566" s="10" t="n"/>
      <c r="E566" s="10" t="n"/>
      <c r="F566" s="13" t="n"/>
      <c r="G566" s="10" t="n"/>
      <c r="H566" s="10" t="n"/>
      <c r="I566" s="10" t="n"/>
      <c r="J566" s="10" t="n"/>
      <c r="K566" s="10">
        <f>IF(A566="","",TEXT(A566,"yyyy-mm"))</f>
        <v/>
      </c>
      <c r="L566" s="10">
        <f>IF(A566="","",WEEKNUM(A566))</f>
        <v/>
      </c>
      <c r="M566" s="10">
        <f>IF(A566="","",IF(COUNTIFS(A:A,A566,B:B,B566,F:F,F566)&gt;1,"⚠ Possible Duplicate",""))</f>
        <v/>
      </c>
      <c r="N566" s="10" t="n"/>
    </row>
    <row r="567">
      <c r="A567" s="10" t="n"/>
      <c r="B567" s="10" t="n"/>
      <c r="C567" s="10" t="n"/>
      <c r="D567" s="10" t="n"/>
      <c r="E567" s="10" t="n"/>
      <c r="F567" s="13" t="n"/>
      <c r="G567" s="10" t="n"/>
      <c r="H567" s="10" t="n"/>
      <c r="I567" s="10" t="n"/>
      <c r="J567" s="10" t="n"/>
      <c r="K567" s="10">
        <f>IF(A567="","",TEXT(A567,"yyyy-mm"))</f>
        <v/>
      </c>
      <c r="L567" s="10">
        <f>IF(A567="","",WEEKNUM(A567))</f>
        <v/>
      </c>
      <c r="M567" s="10">
        <f>IF(A567="","",IF(COUNTIFS(A:A,A567,B:B,B567,F:F,F567)&gt;1,"⚠ Possible Duplicate",""))</f>
        <v/>
      </c>
      <c r="N567" s="10" t="n"/>
    </row>
    <row r="568">
      <c r="A568" s="10" t="n"/>
      <c r="B568" s="10" t="n"/>
      <c r="C568" s="10" t="n"/>
      <c r="D568" s="10" t="n"/>
      <c r="E568" s="10" t="n"/>
      <c r="F568" s="13" t="n"/>
      <c r="G568" s="10" t="n"/>
      <c r="H568" s="10" t="n"/>
      <c r="I568" s="10" t="n"/>
      <c r="J568" s="10" t="n"/>
      <c r="K568" s="10">
        <f>IF(A568="","",TEXT(A568,"yyyy-mm"))</f>
        <v/>
      </c>
      <c r="L568" s="10">
        <f>IF(A568="","",WEEKNUM(A568))</f>
        <v/>
      </c>
      <c r="M568" s="10">
        <f>IF(A568="","",IF(COUNTIFS(A:A,A568,B:B,B568,F:F,F568)&gt;1,"⚠ Possible Duplicate",""))</f>
        <v/>
      </c>
      <c r="N568" s="10" t="n"/>
    </row>
    <row r="569">
      <c r="A569" s="10" t="n"/>
      <c r="B569" s="10" t="n"/>
      <c r="C569" s="10" t="n"/>
      <c r="D569" s="10" t="n"/>
      <c r="E569" s="10" t="n"/>
      <c r="F569" s="13" t="n"/>
      <c r="G569" s="10" t="n"/>
      <c r="H569" s="10" t="n"/>
      <c r="I569" s="10" t="n"/>
      <c r="J569" s="10" t="n"/>
      <c r="K569" s="10">
        <f>IF(A569="","",TEXT(A569,"yyyy-mm"))</f>
        <v/>
      </c>
      <c r="L569" s="10">
        <f>IF(A569="","",WEEKNUM(A569))</f>
        <v/>
      </c>
      <c r="M569" s="10">
        <f>IF(A569="","",IF(COUNTIFS(A:A,A569,B:B,B569,F:F,F569)&gt;1,"⚠ Possible Duplicate",""))</f>
        <v/>
      </c>
      <c r="N569" s="10" t="n"/>
    </row>
    <row r="570">
      <c r="A570" s="10" t="n"/>
      <c r="B570" s="10" t="n"/>
      <c r="C570" s="10" t="n"/>
      <c r="D570" s="10" t="n"/>
      <c r="E570" s="10" t="n"/>
      <c r="F570" s="13" t="n"/>
      <c r="G570" s="10" t="n"/>
      <c r="H570" s="10" t="n"/>
      <c r="I570" s="10" t="n"/>
      <c r="J570" s="10" t="n"/>
      <c r="K570" s="10">
        <f>IF(A570="","",TEXT(A570,"yyyy-mm"))</f>
        <v/>
      </c>
      <c r="L570" s="10">
        <f>IF(A570="","",WEEKNUM(A570))</f>
        <v/>
      </c>
      <c r="M570" s="10">
        <f>IF(A570="","",IF(COUNTIFS(A:A,A570,B:B,B570,F:F,F570)&gt;1,"⚠ Possible Duplicate",""))</f>
        <v/>
      </c>
      <c r="N570" s="10" t="n"/>
    </row>
    <row r="571">
      <c r="A571" s="10" t="n"/>
      <c r="B571" s="10" t="n"/>
      <c r="C571" s="10" t="n"/>
      <c r="D571" s="10" t="n"/>
      <c r="E571" s="10" t="n"/>
      <c r="F571" s="13" t="n"/>
      <c r="G571" s="10" t="n"/>
      <c r="H571" s="10" t="n"/>
      <c r="I571" s="10" t="n"/>
      <c r="J571" s="10" t="n"/>
      <c r="K571" s="10">
        <f>IF(A571="","",TEXT(A571,"yyyy-mm"))</f>
        <v/>
      </c>
      <c r="L571" s="10">
        <f>IF(A571="","",WEEKNUM(A571))</f>
        <v/>
      </c>
      <c r="M571" s="10">
        <f>IF(A571="","",IF(COUNTIFS(A:A,A571,B:B,B571,F:F,F571)&gt;1,"⚠ Possible Duplicate",""))</f>
        <v/>
      </c>
      <c r="N571" s="10" t="n"/>
    </row>
    <row r="572">
      <c r="A572" s="10" t="n"/>
      <c r="B572" s="10" t="n"/>
      <c r="C572" s="10" t="n"/>
      <c r="D572" s="10" t="n"/>
      <c r="E572" s="10" t="n"/>
      <c r="F572" s="13" t="n"/>
      <c r="G572" s="10" t="n"/>
      <c r="H572" s="10" t="n"/>
      <c r="I572" s="10" t="n"/>
      <c r="J572" s="10" t="n"/>
      <c r="K572" s="10">
        <f>IF(A572="","",TEXT(A572,"yyyy-mm"))</f>
        <v/>
      </c>
      <c r="L572" s="10">
        <f>IF(A572="","",WEEKNUM(A572))</f>
        <v/>
      </c>
      <c r="M572" s="10">
        <f>IF(A572="","",IF(COUNTIFS(A:A,A572,B:B,B572,F:F,F572)&gt;1,"⚠ Possible Duplicate",""))</f>
        <v/>
      </c>
      <c r="N572" s="10" t="n"/>
    </row>
    <row r="573">
      <c r="A573" s="10" t="n"/>
      <c r="B573" s="10" t="n"/>
      <c r="C573" s="10" t="n"/>
      <c r="D573" s="10" t="n"/>
      <c r="E573" s="10" t="n"/>
      <c r="F573" s="13" t="n"/>
      <c r="G573" s="10" t="n"/>
      <c r="H573" s="10" t="n"/>
      <c r="I573" s="10" t="n"/>
      <c r="J573" s="10" t="n"/>
      <c r="K573" s="10">
        <f>IF(A573="","",TEXT(A573,"yyyy-mm"))</f>
        <v/>
      </c>
      <c r="L573" s="10">
        <f>IF(A573="","",WEEKNUM(A573))</f>
        <v/>
      </c>
      <c r="M573" s="10">
        <f>IF(A573="","",IF(COUNTIFS(A:A,A573,B:B,B573,F:F,F573)&gt;1,"⚠ Possible Duplicate",""))</f>
        <v/>
      </c>
      <c r="N573" s="10" t="n"/>
    </row>
    <row r="574">
      <c r="A574" s="10" t="n"/>
      <c r="B574" s="10" t="n"/>
      <c r="C574" s="10" t="n"/>
      <c r="D574" s="10" t="n"/>
      <c r="E574" s="10" t="n"/>
      <c r="F574" s="13" t="n"/>
      <c r="G574" s="10" t="n"/>
      <c r="H574" s="10" t="n"/>
      <c r="I574" s="10" t="n"/>
      <c r="J574" s="10" t="n"/>
      <c r="K574" s="10">
        <f>IF(A574="","",TEXT(A574,"yyyy-mm"))</f>
        <v/>
      </c>
      <c r="L574" s="10">
        <f>IF(A574="","",WEEKNUM(A574))</f>
        <v/>
      </c>
      <c r="M574" s="10">
        <f>IF(A574="","",IF(COUNTIFS(A:A,A574,B:B,B574,F:F,F574)&gt;1,"⚠ Possible Duplicate",""))</f>
        <v/>
      </c>
      <c r="N574" s="10" t="n"/>
    </row>
    <row r="575">
      <c r="A575" s="10" t="n"/>
      <c r="B575" s="10" t="n"/>
      <c r="C575" s="10" t="n"/>
      <c r="D575" s="10" t="n"/>
      <c r="E575" s="10" t="n"/>
      <c r="F575" s="13" t="n"/>
      <c r="G575" s="10" t="n"/>
      <c r="H575" s="10" t="n"/>
      <c r="I575" s="10" t="n"/>
      <c r="J575" s="10" t="n"/>
      <c r="K575" s="10">
        <f>IF(A575="","",TEXT(A575,"yyyy-mm"))</f>
        <v/>
      </c>
      <c r="L575" s="10">
        <f>IF(A575="","",WEEKNUM(A575))</f>
        <v/>
      </c>
      <c r="M575" s="10">
        <f>IF(A575="","",IF(COUNTIFS(A:A,A575,B:B,B575,F:F,F575)&gt;1,"⚠ Possible Duplicate",""))</f>
        <v/>
      </c>
      <c r="N575" s="10" t="n"/>
    </row>
    <row r="576">
      <c r="A576" s="10" t="n"/>
      <c r="B576" s="10" t="n"/>
      <c r="C576" s="10" t="n"/>
      <c r="D576" s="10" t="n"/>
      <c r="E576" s="10" t="n"/>
      <c r="F576" s="13" t="n"/>
      <c r="G576" s="10" t="n"/>
      <c r="H576" s="10" t="n"/>
      <c r="I576" s="10" t="n"/>
      <c r="J576" s="10" t="n"/>
      <c r="K576" s="10">
        <f>IF(A576="","",TEXT(A576,"yyyy-mm"))</f>
        <v/>
      </c>
      <c r="L576" s="10">
        <f>IF(A576="","",WEEKNUM(A576))</f>
        <v/>
      </c>
      <c r="M576" s="10">
        <f>IF(A576="","",IF(COUNTIFS(A:A,A576,B:B,B576,F:F,F576)&gt;1,"⚠ Possible Duplicate",""))</f>
        <v/>
      </c>
      <c r="N576" s="10" t="n"/>
    </row>
    <row r="577">
      <c r="A577" s="10" t="n"/>
      <c r="B577" s="10" t="n"/>
      <c r="C577" s="10" t="n"/>
      <c r="D577" s="10" t="n"/>
      <c r="E577" s="10" t="n"/>
      <c r="F577" s="13" t="n"/>
      <c r="G577" s="10" t="n"/>
      <c r="H577" s="10" t="n"/>
      <c r="I577" s="10" t="n"/>
      <c r="J577" s="10" t="n"/>
      <c r="K577" s="10">
        <f>IF(A577="","",TEXT(A577,"yyyy-mm"))</f>
        <v/>
      </c>
      <c r="L577" s="10">
        <f>IF(A577="","",WEEKNUM(A577))</f>
        <v/>
      </c>
      <c r="M577" s="10">
        <f>IF(A577="","",IF(COUNTIFS(A:A,A577,B:B,B577,F:F,F577)&gt;1,"⚠ Possible Duplicate",""))</f>
        <v/>
      </c>
      <c r="N577" s="10" t="n"/>
    </row>
    <row r="578">
      <c r="A578" s="10" t="n"/>
      <c r="B578" s="10" t="n"/>
      <c r="C578" s="10" t="n"/>
      <c r="D578" s="10" t="n"/>
      <c r="E578" s="10" t="n"/>
      <c r="F578" s="13" t="n"/>
      <c r="G578" s="10" t="n"/>
      <c r="H578" s="10" t="n"/>
      <c r="I578" s="10" t="n"/>
      <c r="J578" s="10" t="n"/>
      <c r="K578" s="10">
        <f>IF(A578="","",TEXT(A578,"yyyy-mm"))</f>
        <v/>
      </c>
      <c r="L578" s="10">
        <f>IF(A578="","",WEEKNUM(A578))</f>
        <v/>
      </c>
      <c r="M578" s="10">
        <f>IF(A578="","",IF(COUNTIFS(A:A,A578,B:B,B578,F:F,F578)&gt;1,"⚠ Possible Duplicate",""))</f>
        <v/>
      </c>
      <c r="N578" s="10" t="n"/>
    </row>
    <row r="579">
      <c r="A579" s="10" t="n"/>
      <c r="B579" s="10" t="n"/>
      <c r="C579" s="10" t="n"/>
      <c r="D579" s="10" t="n"/>
      <c r="E579" s="10" t="n"/>
      <c r="F579" s="13" t="n"/>
      <c r="G579" s="10" t="n"/>
      <c r="H579" s="10" t="n"/>
      <c r="I579" s="10" t="n"/>
      <c r="J579" s="10" t="n"/>
      <c r="K579" s="10">
        <f>IF(A579="","",TEXT(A579,"yyyy-mm"))</f>
        <v/>
      </c>
      <c r="L579" s="10">
        <f>IF(A579="","",WEEKNUM(A579))</f>
        <v/>
      </c>
      <c r="M579" s="10">
        <f>IF(A579="","",IF(COUNTIFS(A:A,A579,B:B,B579,F:F,F579)&gt;1,"⚠ Possible Duplicate",""))</f>
        <v/>
      </c>
      <c r="N579" s="10" t="n"/>
    </row>
    <row r="580">
      <c r="A580" s="10" t="n"/>
      <c r="B580" s="10" t="n"/>
      <c r="C580" s="10" t="n"/>
      <c r="D580" s="10" t="n"/>
      <c r="E580" s="10" t="n"/>
      <c r="F580" s="13" t="n"/>
      <c r="G580" s="10" t="n"/>
      <c r="H580" s="10" t="n"/>
      <c r="I580" s="10" t="n"/>
      <c r="J580" s="10" t="n"/>
      <c r="K580" s="10">
        <f>IF(A580="","",TEXT(A580,"yyyy-mm"))</f>
        <v/>
      </c>
      <c r="L580" s="10">
        <f>IF(A580="","",WEEKNUM(A580))</f>
        <v/>
      </c>
      <c r="M580" s="10">
        <f>IF(A580="","",IF(COUNTIFS(A:A,A580,B:B,B580,F:F,F580)&gt;1,"⚠ Possible Duplicate",""))</f>
        <v/>
      </c>
      <c r="N580" s="10" t="n"/>
    </row>
    <row r="581">
      <c r="A581" s="10" t="n"/>
      <c r="B581" s="10" t="n"/>
      <c r="C581" s="10" t="n"/>
      <c r="D581" s="10" t="n"/>
      <c r="E581" s="10" t="n"/>
      <c r="F581" s="13" t="n"/>
      <c r="G581" s="10" t="n"/>
      <c r="H581" s="10" t="n"/>
      <c r="I581" s="10" t="n"/>
      <c r="J581" s="10" t="n"/>
      <c r="K581" s="10">
        <f>IF(A581="","",TEXT(A581,"yyyy-mm"))</f>
        <v/>
      </c>
      <c r="L581" s="10">
        <f>IF(A581="","",WEEKNUM(A581))</f>
        <v/>
      </c>
      <c r="M581" s="10">
        <f>IF(A581="","",IF(COUNTIFS(A:A,A581,B:B,B581,F:F,F581)&gt;1,"⚠ Possible Duplicate",""))</f>
        <v/>
      </c>
      <c r="N581" s="10" t="n"/>
    </row>
    <row r="582">
      <c r="A582" s="10" t="n"/>
      <c r="B582" s="10" t="n"/>
      <c r="C582" s="10" t="n"/>
      <c r="D582" s="10" t="n"/>
      <c r="E582" s="10" t="n"/>
      <c r="F582" s="13" t="n"/>
      <c r="G582" s="10" t="n"/>
      <c r="H582" s="10" t="n"/>
      <c r="I582" s="10" t="n"/>
      <c r="J582" s="10" t="n"/>
      <c r="K582" s="10">
        <f>IF(A582="","",TEXT(A582,"yyyy-mm"))</f>
        <v/>
      </c>
      <c r="L582" s="10">
        <f>IF(A582="","",WEEKNUM(A582))</f>
        <v/>
      </c>
      <c r="M582" s="10">
        <f>IF(A582="","",IF(COUNTIFS(A:A,A582,B:B,B582,F:F,F582)&gt;1,"⚠ Possible Duplicate",""))</f>
        <v/>
      </c>
      <c r="N582" s="10" t="n"/>
    </row>
    <row r="583">
      <c r="A583" s="10" t="n"/>
      <c r="B583" s="10" t="n"/>
      <c r="C583" s="10" t="n"/>
      <c r="D583" s="10" t="n"/>
      <c r="E583" s="10" t="n"/>
      <c r="F583" s="13" t="n"/>
      <c r="G583" s="10" t="n"/>
      <c r="H583" s="10" t="n"/>
      <c r="I583" s="10" t="n"/>
      <c r="J583" s="10" t="n"/>
      <c r="K583" s="10">
        <f>IF(A583="","",TEXT(A583,"yyyy-mm"))</f>
        <v/>
      </c>
      <c r="L583" s="10">
        <f>IF(A583="","",WEEKNUM(A583))</f>
        <v/>
      </c>
      <c r="M583" s="10">
        <f>IF(A583="","",IF(COUNTIFS(A:A,A583,B:B,B583,F:F,F583)&gt;1,"⚠ Possible Duplicate",""))</f>
        <v/>
      </c>
      <c r="N583" s="10" t="n"/>
    </row>
    <row r="584">
      <c r="A584" s="10" t="n"/>
      <c r="B584" s="10" t="n"/>
      <c r="C584" s="10" t="n"/>
      <c r="D584" s="10" t="n"/>
      <c r="E584" s="10" t="n"/>
      <c r="F584" s="13" t="n"/>
      <c r="G584" s="10" t="n"/>
      <c r="H584" s="10" t="n"/>
      <c r="I584" s="10" t="n"/>
      <c r="J584" s="10" t="n"/>
      <c r="K584" s="10">
        <f>IF(A584="","",TEXT(A584,"yyyy-mm"))</f>
        <v/>
      </c>
      <c r="L584" s="10">
        <f>IF(A584="","",WEEKNUM(A584))</f>
        <v/>
      </c>
      <c r="M584" s="10">
        <f>IF(A584="","",IF(COUNTIFS(A:A,A584,B:B,B584,F:F,F584)&gt;1,"⚠ Possible Duplicate",""))</f>
        <v/>
      </c>
      <c r="N584" s="10" t="n"/>
    </row>
    <row r="585">
      <c r="A585" s="10" t="n"/>
      <c r="B585" s="10" t="n"/>
      <c r="C585" s="10" t="n"/>
      <c r="D585" s="10" t="n"/>
      <c r="E585" s="10" t="n"/>
      <c r="F585" s="13" t="n"/>
      <c r="G585" s="10" t="n"/>
      <c r="H585" s="10" t="n"/>
      <c r="I585" s="10" t="n"/>
      <c r="J585" s="10" t="n"/>
      <c r="K585" s="10">
        <f>IF(A585="","",TEXT(A585,"yyyy-mm"))</f>
        <v/>
      </c>
      <c r="L585" s="10">
        <f>IF(A585="","",WEEKNUM(A585))</f>
        <v/>
      </c>
      <c r="M585" s="10">
        <f>IF(A585="","",IF(COUNTIFS(A:A,A585,B:B,B585,F:F,F585)&gt;1,"⚠ Possible Duplicate",""))</f>
        <v/>
      </c>
      <c r="N585" s="10" t="n"/>
    </row>
    <row r="586">
      <c r="A586" s="10" t="n"/>
      <c r="B586" s="10" t="n"/>
      <c r="C586" s="10" t="n"/>
      <c r="D586" s="10" t="n"/>
      <c r="E586" s="10" t="n"/>
      <c r="F586" s="13" t="n"/>
      <c r="G586" s="10" t="n"/>
      <c r="H586" s="10" t="n"/>
      <c r="I586" s="10" t="n"/>
      <c r="J586" s="10" t="n"/>
      <c r="K586" s="10">
        <f>IF(A586="","",TEXT(A586,"yyyy-mm"))</f>
        <v/>
      </c>
      <c r="L586" s="10">
        <f>IF(A586="","",WEEKNUM(A586))</f>
        <v/>
      </c>
      <c r="M586" s="10">
        <f>IF(A586="","",IF(COUNTIFS(A:A,A586,B:B,B586,F:F,F586)&gt;1,"⚠ Possible Duplicate",""))</f>
        <v/>
      </c>
      <c r="N586" s="10" t="n"/>
    </row>
    <row r="587">
      <c r="A587" s="10" t="n"/>
      <c r="B587" s="10" t="n"/>
      <c r="C587" s="10" t="n"/>
      <c r="D587" s="10" t="n"/>
      <c r="E587" s="10" t="n"/>
      <c r="F587" s="13" t="n"/>
      <c r="G587" s="10" t="n"/>
      <c r="H587" s="10" t="n"/>
      <c r="I587" s="10" t="n"/>
      <c r="J587" s="10" t="n"/>
      <c r="K587" s="10">
        <f>IF(A587="","",TEXT(A587,"yyyy-mm"))</f>
        <v/>
      </c>
      <c r="L587" s="10">
        <f>IF(A587="","",WEEKNUM(A587))</f>
        <v/>
      </c>
      <c r="M587" s="10">
        <f>IF(A587="","",IF(COUNTIFS(A:A,A587,B:B,B587,F:F,F587)&gt;1,"⚠ Possible Duplicate",""))</f>
        <v/>
      </c>
      <c r="N587" s="10" t="n"/>
    </row>
    <row r="588">
      <c r="A588" s="10" t="n"/>
      <c r="B588" s="10" t="n"/>
      <c r="C588" s="10" t="n"/>
      <c r="D588" s="10" t="n"/>
      <c r="E588" s="10" t="n"/>
      <c r="F588" s="13" t="n"/>
      <c r="G588" s="10" t="n"/>
      <c r="H588" s="10" t="n"/>
      <c r="I588" s="10" t="n"/>
      <c r="J588" s="10" t="n"/>
      <c r="K588" s="10">
        <f>IF(A588="","",TEXT(A588,"yyyy-mm"))</f>
        <v/>
      </c>
      <c r="L588" s="10">
        <f>IF(A588="","",WEEKNUM(A588))</f>
        <v/>
      </c>
      <c r="M588" s="10">
        <f>IF(A588="","",IF(COUNTIFS(A:A,A588,B:B,B588,F:F,F588)&gt;1,"⚠ Possible Duplicate",""))</f>
        <v/>
      </c>
      <c r="N588" s="10" t="n"/>
    </row>
    <row r="589">
      <c r="A589" s="10" t="n"/>
      <c r="B589" s="10" t="n"/>
      <c r="C589" s="10" t="n"/>
      <c r="D589" s="10" t="n"/>
      <c r="E589" s="10" t="n"/>
      <c r="F589" s="13" t="n"/>
      <c r="G589" s="10" t="n"/>
      <c r="H589" s="10" t="n"/>
      <c r="I589" s="10" t="n"/>
      <c r="J589" s="10" t="n"/>
      <c r="K589" s="10">
        <f>IF(A589="","",TEXT(A589,"yyyy-mm"))</f>
        <v/>
      </c>
      <c r="L589" s="10">
        <f>IF(A589="","",WEEKNUM(A589))</f>
        <v/>
      </c>
      <c r="M589" s="10">
        <f>IF(A589="","",IF(COUNTIFS(A:A,A589,B:B,B589,F:F,F589)&gt;1,"⚠ Possible Duplicate",""))</f>
        <v/>
      </c>
      <c r="N589" s="10" t="n"/>
    </row>
    <row r="590">
      <c r="A590" s="10" t="n"/>
      <c r="B590" s="10" t="n"/>
      <c r="C590" s="10" t="n"/>
      <c r="D590" s="10" t="n"/>
      <c r="E590" s="10" t="n"/>
      <c r="F590" s="13" t="n"/>
      <c r="G590" s="10" t="n"/>
      <c r="H590" s="10" t="n"/>
      <c r="I590" s="10" t="n"/>
      <c r="J590" s="10" t="n"/>
      <c r="K590" s="10">
        <f>IF(A590="","",TEXT(A590,"yyyy-mm"))</f>
        <v/>
      </c>
      <c r="L590" s="10">
        <f>IF(A590="","",WEEKNUM(A590))</f>
        <v/>
      </c>
      <c r="M590" s="10">
        <f>IF(A590="","",IF(COUNTIFS(A:A,A590,B:B,B590,F:F,F590)&gt;1,"⚠ Possible Duplicate",""))</f>
        <v/>
      </c>
      <c r="N590" s="10" t="n"/>
    </row>
    <row r="591">
      <c r="A591" s="10" t="n"/>
      <c r="B591" s="10" t="n"/>
      <c r="C591" s="10" t="n"/>
      <c r="D591" s="10" t="n"/>
      <c r="E591" s="10" t="n"/>
      <c r="F591" s="13" t="n"/>
      <c r="G591" s="10" t="n"/>
      <c r="H591" s="10" t="n"/>
      <c r="I591" s="10" t="n"/>
      <c r="J591" s="10" t="n"/>
      <c r="K591" s="10">
        <f>IF(A591="","",TEXT(A591,"yyyy-mm"))</f>
        <v/>
      </c>
      <c r="L591" s="10">
        <f>IF(A591="","",WEEKNUM(A591))</f>
        <v/>
      </c>
      <c r="M591" s="10">
        <f>IF(A591="","",IF(COUNTIFS(A:A,A591,B:B,B591,F:F,F591)&gt;1,"⚠ Possible Duplicate",""))</f>
        <v/>
      </c>
      <c r="N591" s="10" t="n"/>
    </row>
    <row r="592">
      <c r="A592" s="10" t="n"/>
      <c r="B592" s="10" t="n"/>
      <c r="C592" s="10" t="n"/>
      <c r="D592" s="10" t="n"/>
      <c r="E592" s="10" t="n"/>
      <c r="F592" s="13" t="n"/>
      <c r="G592" s="10" t="n"/>
      <c r="H592" s="10" t="n"/>
      <c r="I592" s="10" t="n"/>
      <c r="J592" s="10" t="n"/>
      <c r="K592" s="10">
        <f>IF(A592="","",TEXT(A592,"yyyy-mm"))</f>
        <v/>
      </c>
      <c r="L592" s="10">
        <f>IF(A592="","",WEEKNUM(A592))</f>
        <v/>
      </c>
      <c r="M592" s="10">
        <f>IF(A592="","",IF(COUNTIFS(A:A,A592,B:B,B592,F:F,F592)&gt;1,"⚠ Possible Duplicate",""))</f>
        <v/>
      </c>
      <c r="N592" s="10" t="n"/>
    </row>
    <row r="593">
      <c r="A593" s="10" t="n"/>
      <c r="B593" s="10" t="n"/>
      <c r="C593" s="10" t="n"/>
      <c r="D593" s="10" t="n"/>
      <c r="E593" s="10" t="n"/>
      <c r="F593" s="13" t="n"/>
      <c r="G593" s="10" t="n"/>
      <c r="H593" s="10" t="n"/>
      <c r="I593" s="10" t="n"/>
      <c r="J593" s="10" t="n"/>
      <c r="K593" s="10">
        <f>IF(A593="","",TEXT(A593,"yyyy-mm"))</f>
        <v/>
      </c>
      <c r="L593" s="10">
        <f>IF(A593="","",WEEKNUM(A593))</f>
        <v/>
      </c>
      <c r="M593" s="10">
        <f>IF(A593="","",IF(COUNTIFS(A:A,A593,B:B,B593,F:F,F593)&gt;1,"⚠ Possible Duplicate",""))</f>
        <v/>
      </c>
      <c r="N593" s="10" t="n"/>
    </row>
    <row r="594">
      <c r="A594" s="10" t="n"/>
      <c r="B594" s="10" t="n"/>
      <c r="C594" s="10" t="n"/>
      <c r="D594" s="10" t="n"/>
      <c r="E594" s="10" t="n"/>
      <c r="F594" s="13" t="n"/>
      <c r="G594" s="10" t="n"/>
      <c r="H594" s="10" t="n"/>
      <c r="I594" s="10" t="n"/>
      <c r="J594" s="10" t="n"/>
      <c r="K594" s="10">
        <f>IF(A594="","",TEXT(A594,"yyyy-mm"))</f>
        <v/>
      </c>
      <c r="L594" s="10">
        <f>IF(A594="","",WEEKNUM(A594))</f>
        <v/>
      </c>
      <c r="M594" s="10">
        <f>IF(A594="","",IF(COUNTIFS(A:A,A594,B:B,B594,F:F,F594)&gt;1,"⚠ Possible Duplicate",""))</f>
        <v/>
      </c>
      <c r="N594" s="10" t="n"/>
    </row>
    <row r="595">
      <c r="A595" s="10" t="n"/>
      <c r="B595" s="10" t="n"/>
      <c r="C595" s="10" t="n"/>
      <c r="D595" s="10" t="n"/>
      <c r="E595" s="10" t="n"/>
      <c r="F595" s="13" t="n"/>
      <c r="G595" s="10" t="n"/>
      <c r="H595" s="10" t="n"/>
      <c r="I595" s="10" t="n"/>
      <c r="J595" s="10" t="n"/>
      <c r="K595" s="10">
        <f>IF(A595="","",TEXT(A595,"yyyy-mm"))</f>
        <v/>
      </c>
      <c r="L595" s="10">
        <f>IF(A595="","",WEEKNUM(A595))</f>
        <v/>
      </c>
      <c r="M595" s="10">
        <f>IF(A595="","",IF(COUNTIFS(A:A,A595,B:B,B595,F:F,F595)&gt;1,"⚠ Possible Duplicate",""))</f>
        <v/>
      </c>
      <c r="N595" s="10" t="n"/>
    </row>
    <row r="596">
      <c r="A596" s="10" t="n"/>
      <c r="B596" s="10" t="n"/>
      <c r="C596" s="10" t="n"/>
      <c r="D596" s="10" t="n"/>
      <c r="E596" s="10" t="n"/>
      <c r="F596" s="13" t="n"/>
      <c r="G596" s="10" t="n"/>
      <c r="H596" s="10" t="n"/>
      <c r="I596" s="10" t="n"/>
      <c r="J596" s="10" t="n"/>
      <c r="K596" s="10">
        <f>IF(A596="","",TEXT(A596,"yyyy-mm"))</f>
        <v/>
      </c>
      <c r="L596" s="10">
        <f>IF(A596="","",WEEKNUM(A596))</f>
        <v/>
      </c>
      <c r="M596" s="10">
        <f>IF(A596="","",IF(COUNTIFS(A:A,A596,B:B,B596,F:F,F596)&gt;1,"⚠ Possible Duplicate",""))</f>
        <v/>
      </c>
      <c r="N596" s="10" t="n"/>
    </row>
    <row r="597">
      <c r="A597" s="10" t="n"/>
      <c r="B597" s="10" t="n"/>
      <c r="C597" s="10" t="n"/>
      <c r="D597" s="10" t="n"/>
      <c r="E597" s="10" t="n"/>
      <c r="F597" s="13" t="n"/>
      <c r="G597" s="10" t="n"/>
      <c r="H597" s="10" t="n"/>
      <c r="I597" s="10" t="n"/>
      <c r="J597" s="10" t="n"/>
      <c r="K597" s="10">
        <f>IF(A597="","",TEXT(A597,"yyyy-mm"))</f>
        <v/>
      </c>
      <c r="L597" s="10">
        <f>IF(A597="","",WEEKNUM(A597))</f>
        <v/>
      </c>
      <c r="M597" s="10">
        <f>IF(A597="","",IF(COUNTIFS(A:A,A597,B:B,B597,F:F,F597)&gt;1,"⚠ Possible Duplicate",""))</f>
        <v/>
      </c>
      <c r="N597" s="10" t="n"/>
    </row>
    <row r="598">
      <c r="A598" s="10" t="n"/>
      <c r="B598" s="10" t="n"/>
      <c r="C598" s="10" t="n"/>
      <c r="D598" s="10" t="n"/>
      <c r="E598" s="10" t="n"/>
      <c r="F598" s="13" t="n"/>
      <c r="G598" s="10" t="n"/>
      <c r="H598" s="10" t="n"/>
      <c r="I598" s="10" t="n"/>
      <c r="J598" s="10" t="n"/>
      <c r="K598" s="10">
        <f>IF(A598="","",TEXT(A598,"yyyy-mm"))</f>
        <v/>
      </c>
      <c r="L598" s="10">
        <f>IF(A598="","",WEEKNUM(A598))</f>
        <v/>
      </c>
      <c r="M598" s="10">
        <f>IF(A598="","",IF(COUNTIFS(A:A,A598,B:B,B598,F:F,F598)&gt;1,"⚠ Possible Duplicate",""))</f>
        <v/>
      </c>
      <c r="N598" s="10" t="n"/>
    </row>
    <row r="599">
      <c r="A599" s="10" t="n"/>
      <c r="B599" s="10" t="n"/>
      <c r="C599" s="10" t="n"/>
      <c r="D599" s="10" t="n"/>
      <c r="E599" s="10" t="n"/>
      <c r="F599" s="13" t="n"/>
      <c r="G599" s="10" t="n"/>
      <c r="H599" s="10" t="n"/>
      <c r="I599" s="10" t="n"/>
      <c r="J599" s="10" t="n"/>
      <c r="K599" s="10">
        <f>IF(A599="","",TEXT(A599,"yyyy-mm"))</f>
        <v/>
      </c>
      <c r="L599" s="10">
        <f>IF(A599="","",WEEKNUM(A599))</f>
        <v/>
      </c>
      <c r="M599" s="10">
        <f>IF(A599="","",IF(COUNTIFS(A:A,A599,B:B,B599,F:F,F599)&gt;1,"⚠ Possible Duplicate",""))</f>
        <v/>
      </c>
      <c r="N599" s="10" t="n"/>
    </row>
    <row r="600">
      <c r="A600" s="10" t="n"/>
      <c r="B600" s="10" t="n"/>
      <c r="C600" s="10" t="n"/>
      <c r="D600" s="10" t="n"/>
      <c r="E600" s="10" t="n"/>
      <c r="F600" s="13" t="n"/>
      <c r="G600" s="10" t="n"/>
      <c r="H600" s="10" t="n"/>
      <c r="I600" s="10" t="n"/>
      <c r="J600" s="10" t="n"/>
      <c r="K600" s="10">
        <f>IF(A600="","",TEXT(A600,"yyyy-mm"))</f>
        <v/>
      </c>
      <c r="L600" s="10">
        <f>IF(A600="","",WEEKNUM(A600))</f>
        <v/>
      </c>
      <c r="M600" s="10">
        <f>IF(A600="","",IF(COUNTIFS(A:A,A600,B:B,B600,F:F,F600)&gt;1,"⚠ Possible Duplicate",""))</f>
        <v/>
      </c>
      <c r="N600" s="10" t="n"/>
    </row>
    <row r="601">
      <c r="A601" s="10" t="n"/>
      <c r="B601" s="10" t="n"/>
      <c r="C601" s="10" t="n"/>
      <c r="D601" s="10" t="n"/>
      <c r="E601" s="10" t="n"/>
      <c r="F601" s="13" t="n"/>
      <c r="G601" s="10" t="n"/>
      <c r="H601" s="10" t="n"/>
      <c r="I601" s="10" t="n"/>
      <c r="J601" s="10" t="n"/>
      <c r="K601" s="10">
        <f>IF(A601="","",TEXT(A601,"yyyy-mm"))</f>
        <v/>
      </c>
      <c r="L601" s="10">
        <f>IF(A601="","",WEEKNUM(A601))</f>
        <v/>
      </c>
      <c r="M601" s="10">
        <f>IF(A601="","",IF(COUNTIFS(A:A,A601,B:B,B601,F:F,F601)&gt;1,"⚠ Possible Duplicate",""))</f>
        <v/>
      </c>
      <c r="N601" s="10" t="n"/>
    </row>
    <row r="602">
      <c r="A602" s="10" t="n"/>
      <c r="B602" s="10" t="n"/>
      <c r="C602" s="10" t="n"/>
      <c r="D602" s="10" t="n"/>
      <c r="E602" s="10" t="n"/>
      <c r="F602" s="13" t="n"/>
      <c r="G602" s="10" t="n"/>
      <c r="H602" s="10" t="n"/>
      <c r="I602" s="10" t="n"/>
      <c r="J602" s="10" t="n"/>
      <c r="K602" s="10">
        <f>IF(A602="","",TEXT(A602,"yyyy-mm"))</f>
        <v/>
      </c>
      <c r="L602" s="10">
        <f>IF(A602="","",WEEKNUM(A602))</f>
        <v/>
      </c>
      <c r="M602" s="10">
        <f>IF(A602="","",IF(COUNTIFS(A:A,A602,B:B,B602,F:F,F602)&gt;1,"⚠ Possible Duplicate",""))</f>
        <v/>
      </c>
      <c r="N602" s="10" t="n"/>
    </row>
    <row r="603">
      <c r="A603" s="10" t="n"/>
      <c r="B603" s="10" t="n"/>
      <c r="C603" s="10" t="n"/>
      <c r="D603" s="10" t="n"/>
      <c r="E603" s="10" t="n"/>
      <c r="F603" s="13" t="n"/>
      <c r="G603" s="10" t="n"/>
      <c r="H603" s="10" t="n"/>
      <c r="I603" s="10" t="n"/>
      <c r="J603" s="10" t="n"/>
      <c r="K603" s="10">
        <f>IF(A603="","",TEXT(A603,"yyyy-mm"))</f>
        <v/>
      </c>
      <c r="L603" s="10">
        <f>IF(A603="","",WEEKNUM(A603))</f>
        <v/>
      </c>
      <c r="M603" s="10">
        <f>IF(A603="","",IF(COUNTIFS(A:A,A603,B:B,B603,F:F,F603)&gt;1,"⚠ Possible Duplicate",""))</f>
        <v/>
      </c>
      <c r="N603" s="10" t="n"/>
    </row>
    <row r="604">
      <c r="A604" s="10" t="n"/>
      <c r="B604" s="10" t="n"/>
      <c r="C604" s="10" t="n"/>
      <c r="D604" s="10" t="n"/>
      <c r="E604" s="10" t="n"/>
      <c r="F604" s="13" t="n"/>
      <c r="G604" s="10" t="n"/>
      <c r="H604" s="10" t="n"/>
      <c r="I604" s="10" t="n"/>
      <c r="J604" s="10" t="n"/>
      <c r="K604" s="10">
        <f>IF(A604="","",TEXT(A604,"yyyy-mm"))</f>
        <v/>
      </c>
      <c r="L604" s="10">
        <f>IF(A604="","",WEEKNUM(A604))</f>
        <v/>
      </c>
      <c r="M604" s="10">
        <f>IF(A604="","",IF(COUNTIFS(A:A,A604,B:B,B604,F:F,F604)&gt;1,"⚠ Possible Duplicate",""))</f>
        <v/>
      </c>
      <c r="N604" s="10" t="n"/>
    </row>
    <row r="605">
      <c r="A605" s="10" t="n"/>
      <c r="B605" s="10" t="n"/>
      <c r="C605" s="10" t="n"/>
      <c r="D605" s="10" t="n"/>
      <c r="E605" s="10" t="n"/>
      <c r="F605" s="13" t="n"/>
      <c r="G605" s="10" t="n"/>
      <c r="H605" s="10" t="n"/>
      <c r="I605" s="10" t="n"/>
      <c r="J605" s="10" t="n"/>
      <c r="K605" s="10">
        <f>IF(A605="","",TEXT(A605,"yyyy-mm"))</f>
        <v/>
      </c>
      <c r="L605" s="10">
        <f>IF(A605="","",WEEKNUM(A605))</f>
        <v/>
      </c>
      <c r="M605" s="10">
        <f>IF(A605="","",IF(COUNTIFS(A:A,A605,B:B,B605,F:F,F605)&gt;1,"⚠ Possible Duplicate",""))</f>
        <v/>
      </c>
      <c r="N605" s="10" t="n"/>
    </row>
    <row r="606">
      <c r="A606" s="10" t="n"/>
      <c r="B606" s="10" t="n"/>
      <c r="C606" s="10" t="n"/>
      <c r="D606" s="10" t="n"/>
      <c r="E606" s="10" t="n"/>
      <c r="F606" s="13" t="n"/>
      <c r="G606" s="10" t="n"/>
      <c r="H606" s="10" t="n"/>
      <c r="I606" s="10" t="n"/>
      <c r="J606" s="10" t="n"/>
      <c r="K606" s="10">
        <f>IF(A606="","",TEXT(A606,"yyyy-mm"))</f>
        <v/>
      </c>
      <c r="L606" s="10">
        <f>IF(A606="","",WEEKNUM(A606))</f>
        <v/>
      </c>
      <c r="M606" s="10">
        <f>IF(A606="","",IF(COUNTIFS(A:A,A606,B:B,B606,F:F,F606)&gt;1,"⚠ Possible Duplicate",""))</f>
        <v/>
      </c>
      <c r="N606" s="10" t="n"/>
    </row>
    <row r="607">
      <c r="A607" s="10" t="n"/>
      <c r="B607" s="10" t="n"/>
      <c r="C607" s="10" t="n"/>
      <c r="D607" s="10" t="n"/>
      <c r="E607" s="10" t="n"/>
      <c r="F607" s="13" t="n"/>
      <c r="G607" s="10" t="n"/>
      <c r="H607" s="10" t="n"/>
      <c r="I607" s="10" t="n"/>
      <c r="J607" s="10" t="n"/>
      <c r="K607" s="10">
        <f>IF(A607="","",TEXT(A607,"yyyy-mm"))</f>
        <v/>
      </c>
      <c r="L607" s="10">
        <f>IF(A607="","",WEEKNUM(A607))</f>
        <v/>
      </c>
      <c r="M607" s="10">
        <f>IF(A607="","",IF(COUNTIFS(A:A,A607,B:B,B607,F:F,F607)&gt;1,"⚠ Possible Duplicate",""))</f>
        <v/>
      </c>
      <c r="N607" s="10" t="n"/>
    </row>
    <row r="608">
      <c r="A608" s="10" t="n"/>
      <c r="B608" s="10" t="n"/>
      <c r="C608" s="10" t="n"/>
      <c r="D608" s="10" t="n"/>
      <c r="E608" s="10" t="n"/>
      <c r="F608" s="13" t="n"/>
      <c r="G608" s="10" t="n"/>
      <c r="H608" s="10" t="n"/>
      <c r="I608" s="10" t="n"/>
      <c r="J608" s="10" t="n"/>
      <c r="K608" s="10">
        <f>IF(A608="","",TEXT(A608,"yyyy-mm"))</f>
        <v/>
      </c>
      <c r="L608" s="10">
        <f>IF(A608="","",WEEKNUM(A608))</f>
        <v/>
      </c>
      <c r="M608" s="10">
        <f>IF(A608="","",IF(COUNTIFS(A:A,A608,B:B,B608,F:F,F608)&gt;1,"⚠ Possible Duplicate",""))</f>
        <v/>
      </c>
      <c r="N608" s="10" t="n"/>
    </row>
    <row r="609">
      <c r="A609" s="10" t="n"/>
      <c r="B609" s="10" t="n"/>
      <c r="C609" s="10" t="n"/>
      <c r="D609" s="10" t="n"/>
      <c r="E609" s="10" t="n"/>
      <c r="F609" s="13" t="n"/>
      <c r="G609" s="10" t="n"/>
      <c r="H609" s="10" t="n"/>
      <c r="I609" s="10" t="n"/>
      <c r="J609" s="10" t="n"/>
      <c r="K609" s="10">
        <f>IF(A609="","",TEXT(A609,"yyyy-mm"))</f>
        <v/>
      </c>
      <c r="L609" s="10">
        <f>IF(A609="","",WEEKNUM(A609))</f>
        <v/>
      </c>
      <c r="M609" s="10">
        <f>IF(A609="","",IF(COUNTIFS(A:A,A609,B:B,B609,F:F,F609)&gt;1,"⚠ Possible Duplicate",""))</f>
        <v/>
      </c>
      <c r="N609" s="10" t="n"/>
    </row>
    <row r="610">
      <c r="A610" s="10" t="n"/>
      <c r="B610" s="10" t="n"/>
      <c r="C610" s="10" t="n"/>
      <c r="D610" s="10" t="n"/>
      <c r="E610" s="10" t="n"/>
      <c r="F610" s="13" t="n"/>
      <c r="G610" s="10" t="n"/>
      <c r="H610" s="10" t="n"/>
      <c r="I610" s="10" t="n"/>
      <c r="J610" s="10" t="n"/>
      <c r="K610" s="10">
        <f>IF(A610="","",TEXT(A610,"yyyy-mm"))</f>
        <v/>
      </c>
      <c r="L610" s="10">
        <f>IF(A610="","",WEEKNUM(A610))</f>
        <v/>
      </c>
      <c r="M610" s="10">
        <f>IF(A610="","",IF(COUNTIFS(A:A,A610,B:B,B610,F:F,F610)&gt;1,"⚠ Possible Duplicate",""))</f>
        <v/>
      </c>
      <c r="N610" s="10" t="n"/>
    </row>
    <row r="611">
      <c r="A611" s="10" t="n"/>
      <c r="B611" s="10" t="n"/>
      <c r="C611" s="10" t="n"/>
      <c r="D611" s="10" t="n"/>
      <c r="E611" s="10" t="n"/>
      <c r="F611" s="13" t="n"/>
      <c r="G611" s="10" t="n"/>
      <c r="H611" s="10" t="n"/>
      <c r="I611" s="10" t="n"/>
      <c r="J611" s="10" t="n"/>
      <c r="K611" s="10">
        <f>IF(A611="","",TEXT(A611,"yyyy-mm"))</f>
        <v/>
      </c>
      <c r="L611" s="10">
        <f>IF(A611="","",WEEKNUM(A611))</f>
        <v/>
      </c>
      <c r="M611" s="10">
        <f>IF(A611="","",IF(COUNTIFS(A:A,A611,B:B,B611,F:F,F611)&gt;1,"⚠ Possible Duplicate",""))</f>
        <v/>
      </c>
      <c r="N611" s="10" t="n"/>
    </row>
    <row r="612">
      <c r="A612" s="10" t="n"/>
      <c r="B612" s="10" t="n"/>
      <c r="C612" s="10" t="n"/>
      <c r="D612" s="10" t="n"/>
      <c r="E612" s="10" t="n"/>
      <c r="F612" s="13" t="n"/>
      <c r="G612" s="10" t="n"/>
      <c r="H612" s="10" t="n"/>
      <c r="I612" s="10" t="n"/>
      <c r="J612" s="10" t="n"/>
      <c r="K612" s="10">
        <f>IF(A612="","",TEXT(A612,"yyyy-mm"))</f>
        <v/>
      </c>
      <c r="L612" s="10">
        <f>IF(A612="","",WEEKNUM(A612))</f>
        <v/>
      </c>
      <c r="M612" s="10">
        <f>IF(A612="","",IF(COUNTIFS(A:A,A612,B:B,B612,F:F,F612)&gt;1,"⚠ Possible Duplicate",""))</f>
        <v/>
      </c>
      <c r="N612" s="10" t="n"/>
    </row>
    <row r="613">
      <c r="A613" s="10" t="n"/>
      <c r="B613" s="10" t="n"/>
      <c r="C613" s="10" t="n"/>
      <c r="D613" s="10" t="n"/>
      <c r="E613" s="10" t="n"/>
      <c r="F613" s="13" t="n"/>
      <c r="G613" s="10" t="n"/>
      <c r="H613" s="10" t="n"/>
      <c r="I613" s="10" t="n"/>
      <c r="J613" s="10" t="n"/>
      <c r="K613" s="10">
        <f>IF(A613="","",TEXT(A613,"yyyy-mm"))</f>
        <v/>
      </c>
      <c r="L613" s="10">
        <f>IF(A613="","",WEEKNUM(A613))</f>
        <v/>
      </c>
      <c r="M613" s="10">
        <f>IF(A613="","",IF(COUNTIFS(A:A,A613,B:B,B613,F:F,F613)&gt;1,"⚠ Possible Duplicate",""))</f>
        <v/>
      </c>
      <c r="N613" s="10" t="n"/>
    </row>
    <row r="614">
      <c r="A614" s="10" t="n"/>
      <c r="B614" s="10" t="n"/>
      <c r="C614" s="10" t="n"/>
      <c r="D614" s="10" t="n"/>
      <c r="E614" s="10" t="n"/>
      <c r="F614" s="13" t="n"/>
      <c r="G614" s="10" t="n"/>
      <c r="H614" s="10" t="n"/>
      <c r="I614" s="10" t="n"/>
      <c r="J614" s="10" t="n"/>
      <c r="K614" s="10">
        <f>IF(A614="","",TEXT(A614,"yyyy-mm"))</f>
        <v/>
      </c>
      <c r="L614" s="10">
        <f>IF(A614="","",WEEKNUM(A614))</f>
        <v/>
      </c>
      <c r="M614" s="10">
        <f>IF(A614="","",IF(COUNTIFS(A:A,A614,B:B,B614,F:F,F614)&gt;1,"⚠ Possible Duplicate",""))</f>
        <v/>
      </c>
      <c r="N614" s="10" t="n"/>
    </row>
    <row r="615">
      <c r="A615" s="10" t="n"/>
      <c r="B615" s="10" t="n"/>
      <c r="C615" s="10" t="n"/>
      <c r="D615" s="10" t="n"/>
      <c r="E615" s="10" t="n"/>
      <c r="F615" s="13" t="n"/>
      <c r="G615" s="10" t="n"/>
      <c r="H615" s="10" t="n"/>
      <c r="I615" s="10" t="n"/>
      <c r="J615" s="10" t="n"/>
      <c r="K615" s="10">
        <f>IF(A615="","",TEXT(A615,"yyyy-mm"))</f>
        <v/>
      </c>
      <c r="L615" s="10">
        <f>IF(A615="","",WEEKNUM(A615))</f>
        <v/>
      </c>
      <c r="M615" s="10">
        <f>IF(A615="","",IF(COUNTIFS(A:A,A615,B:B,B615,F:F,F615)&gt;1,"⚠ Possible Duplicate",""))</f>
        <v/>
      </c>
      <c r="N615" s="10" t="n"/>
    </row>
    <row r="616">
      <c r="A616" s="10" t="n"/>
      <c r="B616" s="10" t="n"/>
      <c r="C616" s="10" t="n"/>
      <c r="D616" s="10" t="n"/>
      <c r="E616" s="10" t="n"/>
      <c r="F616" s="13" t="n"/>
      <c r="G616" s="10" t="n"/>
      <c r="H616" s="10" t="n"/>
      <c r="I616" s="10" t="n"/>
      <c r="J616" s="10" t="n"/>
      <c r="K616" s="10">
        <f>IF(A616="","",TEXT(A616,"yyyy-mm"))</f>
        <v/>
      </c>
      <c r="L616" s="10">
        <f>IF(A616="","",WEEKNUM(A616))</f>
        <v/>
      </c>
      <c r="M616" s="10">
        <f>IF(A616="","",IF(COUNTIFS(A:A,A616,B:B,B616,F:F,F616)&gt;1,"⚠ Possible Duplicate",""))</f>
        <v/>
      </c>
      <c r="N616" s="10" t="n"/>
    </row>
    <row r="617">
      <c r="A617" s="10" t="n"/>
      <c r="B617" s="10" t="n"/>
      <c r="C617" s="10" t="n"/>
      <c r="D617" s="10" t="n"/>
      <c r="E617" s="10" t="n"/>
      <c r="F617" s="13" t="n"/>
      <c r="G617" s="10" t="n"/>
      <c r="H617" s="10" t="n"/>
      <c r="I617" s="10" t="n"/>
      <c r="J617" s="10" t="n"/>
      <c r="K617" s="10">
        <f>IF(A617="","",TEXT(A617,"yyyy-mm"))</f>
        <v/>
      </c>
      <c r="L617" s="10">
        <f>IF(A617="","",WEEKNUM(A617))</f>
        <v/>
      </c>
      <c r="M617" s="10">
        <f>IF(A617="","",IF(COUNTIFS(A:A,A617,B:B,B617,F:F,F617)&gt;1,"⚠ Possible Duplicate",""))</f>
        <v/>
      </c>
      <c r="N617" s="10" t="n"/>
    </row>
    <row r="618">
      <c r="A618" s="10" t="n"/>
      <c r="B618" s="10" t="n"/>
      <c r="C618" s="10" t="n"/>
      <c r="D618" s="10" t="n"/>
      <c r="E618" s="10" t="n"/>
      <c r="F618" s="13" t="n"/>
      <c r="G618" s="10" t="n"/>
      <c r="H618" s="10" t="n"/>
      <c r="I618" s="10" t="n"/>
      <c r="J618" s="10" t="n"/>
      <c r="K618" s="10">
        <f>IF(A618="","",TEXT(A618,"yyyy-mm"))</f>
        <v/>
      </c>
      <c r="L618" s="10">
        <f>IF(A618="","",WEEKNUM(A618))</f>
        <v/>
      </c>
      <c r="M618" s="10">
        <f>IF(A618="","",IF(COUNTIFS(A:A,A618,B:B,B618,F:F,F618)&gt;1,"⚠ Possible Duplicate",""))</f>
        <v/>
      </c>
      <c r="N618" s="10" t="n"/>
    </row>
    <row r="619">
      <c r="A619" s="10" t="n"/>
      <c r="B619" s="10" t="n"/>
      <c r="C619" s="10" t="n"/>
      <c r="D619" s="10" t="n"/>
      <c r="E619" s="10" t="n"/>
      <c r="F619" s="13" t="n"/>
      <c r="G619" s="10" t="n"/>
      <c r="H619" s="10" t="n"/>
      <c r="I619" s="10" t="n"/>
      <c r="J619" s="10" t="n"/>
      <c r="K619" s="10">
        <f>IF(A619="","",TEXT(A619,"yyyy-mm"))</f>
        <v/>
      </c>
      <c r="L619" s="10">
        <f>IF(A619="","",WEEKNUM(A619))</f>
        <v/>
      </c>
      <c r="M619" s="10">
        <f>IF(A619="","",IF(COUNTIFS(A:A,A619,B:B,B619,F:F,F619)&gt;1,"⚠ Possible Duplicate",""))</f>
        <v/>
      </c>
      <c r="N619" s="10" t="n"/>
    </row>
    <row r="620">
      <c r="A620" s="10" t="n"/>
      <c r="B620" s="10" t="n"/>
      <c r="C620" s="10" t="n"/>
      <c r="D620" s="10" t="n"/>
      <c r="E620" s="10" t="n"/>
      <c r="F620" s="13" t="n"/>
      <c r="G620" s="10" t="n"/>
      <c r="H620" s="10" t="n"/>
      <c r="I620" s="10" t="n"/>
      <c r="J620" s="10" t="n"/>
      <c r="K620" s="10">
        <f>IF(A620="","",TEXT(A620,"yyyy-mm"))</f>
        <v/>
      </c>
      <c r="L620" s="10">
        <f>IF(A620="","",WEEKNUM(A620))</f>
        <v/>
      </c>
      <c r="M620" s="10">
        <f>IF(A620="","",IF(COUNTIFS(A:A,A620,B:B,B620,F:F,F620)&gt;1,"⚠ Possible Duplicate",""))</f>
        <v/>
      </c>
      <c r="N620" s="10" t="n"/>
    </row>
    <row r="621">
      <c r="A621" s="10" t="n"/>
      <c r="B621" s="10" t="n"/>
      <c r="C621" s="10" t="n"/>
      <c r="D621" s="10" t="n"/>
      <c r="E621" s="10" t="n"/>
      <c r="F621" s="13" t="n"/>
      <c r="G621" s="10" t="n"/>
      <c r="H621" s="10" t="n"/>
      <c r="I621" s="10" t="n"/>
      <c r="J621" s="10" t="n"/>
      <c r="K621" s="10">
        <f>IF(A621="","",TEXT(A621,"yyyy-mm"))</f>
        <v/>
      </c>
      <c r="L621" s="10">
        <f>IF(A621="","",WEEKNUM(A621))</f>
        <v/>
      </c>
      <c r="M621" s="10">
        <f>IF(A621="","",IF(COUNTIFS(A:A,A621,B:B,B621,F:F,F621)&gt;1,"⚠ Possible Duplicate",""))</f>
        <v/>
      </c>
      <c r="N621" s="10" t="n"/>
    </row>
    <row r="622">
      <c r="A622" s="10" t="n"/>
      <c r="B622" s="10" t="n"/>
      <c r="C622" s="10" t="n"/>
      <c r="D622" s="10" t="n"/>
      <c r="E622" s="10" t="n"/>
      <c r="F622" s="13" t="n"/>
      <c r="G622" s="10" t="n"/>
      <c r="H622" s="10" t="n"/>
      <c r="I622" s="10" t="n"/>
      <c r="J622" s="10" t="n"/>
      <c r="K622" s="10">
        <f>IF(A622="","",TEXT(A622,"yyyy-mm"))</f>
        <v/>
      </c>
      <c r="L622" s="10">
        <f>IF(A622="","",WEEKNUM(A622))</f>
        <v/>
      </c>
      <c r="M622" s="10">
        <f>IF(A622="","",IF(COUNTIFS(A:A,A622,B:B,B622,F:F,F622)&gt;1,"⚠ Possible Duplicate",""))</f>
        <v/>
      </c>
      <c r="N622" s="10" t="n"/>
    </row>
    <row r="623">
      <c r="A623" s="10" t="n"/>
      <c r="B623" s="10" t="n"/>
      <c r="C623" s="10" t="n"/>
      <c r="D623" s="10" t="n"/>
      <c r="E623" s="10" t="n"/>
      <c r="F623" s="13" t="n"/>
      <c r="G623" s="10" t="n"/>
      <c r="H623" s="10" t="n"/>
      <c r="I623" s="10" t="n"/>
      <c r="J623" s="10" t="n"/>
      <c r="K623" s="10">
        <f>IF(A623="","",TEXT(A623,"yyyy-mm"))</f>
        <v/>
      </c>
      <c r="L623" s="10">
        <f>IF(A623="","",WEEKNUM(A623))</f>
        <v/>
      </c>
      <c r="M623" s="10">
        <f>IF(A623="","",IF(COUNTIFS(A:A,A623,B:B,B623,F:F,F623)&gt;1,"⚠ Possible Duplicate",""))</f>
        <v/>
      </c>
      <c r="N623" s="10" t="n"/>
    </row>
    <row r="624">
      <c r="A624" s="10" t="n"/>
      <c r="B624" s="10" t="n"/>
      <c r="C624" s="10" t="n"/>
      <c r="D624" s="10" t="n"/>
      <c r="E624" s="10" t="n"/>
      <c r="F624" s="13" t="n"/>
      <c r="G624" s="10" t="n"/>
      <c r="H624" s="10" t="n"/>
      <c r="I624" s="10" t="n"/>
      <c r="J624" s="10" t="n"/>
      <c r="K624" s="10">
        <f>IF(A624="","",TEXT(A624,"yyyy-mm"))</f>
        <v/>
      </c>
      <c r="L624" s="10">
        <f>IF(A624="","",WEEKNUM(A624))</f>
        <v/>
      </c>
      <c r="M624" s="10">
        <f>IF(A624="","",IF(COUNTIFS(A:A,A624,B:B,B624,F:F,F624)&gt;1,"⚠ Possible Duplicate",""))</f>
        <v/>
      </c>
      <c r="N624" s="10" t="n"/>
    </row>
    <row r="625">
      <c r="A625" s="10" t="n"/>
      <c r="B625" s="10" t="n"/>
      <c r="C625" s="10" t="n"/>
      <c r="D625" s="10" t="n"/>
      <c r="E625" s="10" t="n"/>
      <c r="F625" s="13" t="n"/>
      <c r="G625" s="10" t="n"/>
      <c r="H625" s="10" t="n"/>
      <c r="I625" s="10" t="n"/>
      <c r="J625" s="10" t="n"/>
      <c r="K625" s="10">
        <f>IF(A625="","",TEXT(A625,"yyyy-mm"))</f>
        <v/>
      </c>
      <c r="L625" s="10">
        <f>IF(A625="","",WEEKNUM(A625))</f>
        <v/>
      </c>
      <c r="M625" s="10">
        <f>IF(A625="","",IF(COUNTIFS(A:A,A625,B:B,B625,F:F,F625)&gt;1,"⚠ Possible Duplicate",""))</f>
        <v/>
      </c>
      <c r="N625" s="10" t="n"/>
    </row>
    <row r="626">
      <c r="A626" s="10" t="n"/>
      <c r="B626" s="10" t="n"/>
      <c r="C626" s="10" t="n"/>
      <c r="D626" s="10" t="n"/>
      <c r="E626" s="10" t="n"/>
      <c r="F626" s="13" t="n"/>
      <c r="G626" s="10" t="n"/>
      <c r="H626" s="10" t="n"/>
      <c r="I626" s="10" t="n"/>
      <c r="J626" s="10" t="n"/>
      <c r="K626" s="10">
        <f>IF(A626="","",TEXT(A626,"yyyy-mm"))</f>
        <v/>
      </c>
      <c r="L626" s="10">
        <f>IF(A626="","",WEEKNUM(A626))</f>
        <v/>
      </c>
      <c r="M626" s="10">
        <f>IF(A626="","",IF(COUNTIFS(A:A,A626,B:B,B626,F:F,F626)&gt;1,"⚠ Possible Duplicate",""))</f>
        <v/>
      </c>
      <c r="N626" s="10" t="n"/>
    </row>
    <row r="627">
      <c r="A627" s="10" t="n"/>
      <c r="B627" s="10" t="n"/>
      <c r="C627" s="10" t="n"/>
      <c r="D627" s="10" t="n"/>
      <c r="E627" s="10" t="n"/>
      <c r="F627" s="13" t="n"/>
      <c r="G627" s="10" t="n"/>
      <c r="H627" s="10" t="n"/>
      <c r="I627" s="10" t="n"/>
      <c r="J627" s="10" t="n"/>
      <c r="K627" s="10">
        <f>IF(A627="","",TEXT(A627,"yyyy-mm"))</f>
        <v/>
      </c>
      <c r="L627" s="10">
        <f>IF(A627="","",WEEKNUM(A627))</f>
        <v/>
      </c>
      <c r="M627" s="10">
        <f>IF(A627="","",IF(COUNTIFS(A:A,A627,B:B,B627,F:F,F627)&gt;1,"⚠ Possible Duplicate",""))</f>
        <v/>
      </c>
      <c r="N627" s="10" t="n"/>
    </row>
    <row r="628">
      <c r="A628" s="10" t="n"/>
      <c r="B628" s="10" t="n"/>
      <c r="C628" s="10" t="n"/>
      <c r="D628" s="10" t="n"/>
      <c r="E628" s="10" t="n"/>
      <c r="F628" s="13" t="n"/>
      <c r="G628" s="10" t="n"/>
      <c r="H628" s="10" t="n"/>
      <c r="I628" s="10" t="n"/>
      <c r="J628" s="10" t="n"/>
      <c r="K628" s="10">
        <f>IF(A628="","",TEXT(A628,"yyyy-mm"))</f>
        <v/>
      </c>
      <c r="L628" s="10">
        <f>IF(A628="","",WEEKNUM(A628))</f>
        <v/>
      </c>
      <c r="M628" s="10">
        <f>IF(A628="","",IF(COUNTIFS(A:A,A628,B:B,B628,F:F,F628)&gt;1,"⚠ Possible Duplicate",""))</f>
        <v/>
      </c>
      <c r="N628" s="10" t="n"/>
    </row>
    <row r="629">
      <c r="A629" s="10" t="n"/>
      <c r="B629" s="10" t="n"/>
      <c r="C629" s="10" t="n"/>
      <c r="D629" s="10" t="n"/>
      <c r="E629" s="10" t="n"/>
      <c r="F629" s="13" t="n"/>
      <c r="G629" s="10" t="n"/>
      <c r="H629" s="10" t="n"/>
      <c r="I629" s="10" t="n"/>
      <c r="J629" s="10" t="n"/>
      <c r="K629" s="10">
        <f>IF(A629="","",TEXT(A629,"yyyy-mm"))</f>
        <v/>
      </c>
      <c r="L629" s="10">
        <f>IF(A629="","",WEEKNUM(A629))</f>
        <v/>
      </c>
      <c r="M629" s="10">
        <f>IF(A629="","",IF(COUNTIFS(A:A,A629,B:B,B629,F:F,F629)&gt;1,"⚠ Possible Duplicate",""))</f>
        <v/>
      </c>
      <c r="N629" s="10" t="n"/>
    </row>
    <row r="630">
      <c r="A630" s="10" t="n"/>
      <c r="B630" s="10" t="n"/>
      <c r="C630" s="10" t="n"/>
      <c r="D630" s="10" t="n"/>
      <c r="E630" s="10" t="n"/>
      <c r="F630" s="13" t="n"/>
      <c r="G630" s="10" t="n"/>
      <c r="H630" s="10" t="n"/>
      <c r="I630" s="10" t="n"/>
      <c r="J630" s="10" t="n"/>
      <c r="K630" s="10">
        <f>IF(A630="","",TEXT(A630,"yyyy-mm"))</f>
        <v/>
      </c>
      <c r="L630" s="10">
        <f>IF(A630="","",WEEKNUM(A630))</f>
        <v/>
      </c>
      <c r="M630" s="10">
        <f>IF(A630="","",IF(COUNTIFS(A:A,A630,B:B,B630,F:F,F630)&gt;1,"⚠ Possible Duplicate",""))</f>
        <v/>
      </c>
      <c r="N630" s="10" t="n"/>
    </row>
    <row r="631">
      <c r="A631" s="10" t="n"/>
      <c r="B631" s="10" t="n"/>
      <c r="C631" s="10" t="n"/>
      <c r="D631" s="10" t="n"/>
      <c r="E631" s="10" t="n"/>
      <c r="F631" s="13" t="n"/>
      <c r="G631" s="10" t="n"/>
      <c r="H631" s="10" t="n"/>
      <c r="I631" s="10" t="n"/>
      <c r="J631" s="10" t="n"/>
      <c r="K631" s="10">
        <f>IF(A631="","",TEXT(A631,"yyyy-mm"))</f>
        <v/>
      </c>
      <c r="L631" s="10">
        <f>IF(A631="","",WEEKNUM(A631))</f>
        <v/>
      </c>
      <c r="M631" s="10">
        <f>IF(A631="","",IF(COUNTIFS(A:A,A631,B:B,B631,F:F,F631)&gt;1,"⚠ Possible Duplicate",""))</f>
        <v/>
      </c>
      <c r="N631" s="10" t="n"/>
    </row>
    <row r="632">
      <c r="A632" s="10" t="n"/>
      <c r="B632" s="10" t="n"/>
      <c r="C632" s="10" t="n"/>
      <c r="D632" s="10" t="n"/>
      <c r="E632" s="10" t="n"/>
      <c r="F632" s="13" t="n"/>
      <c r="G632" s="10" t="n"/>
      <c r="H632" s="10" t="n"/>
      <c r="I632" s="10" t="n"/>
      <c r="J632" s="10" t="n"/>
      <c r="K632" s="10">
        <f>IF(A632="","",TEXT(A632,"yyyy-mm"))</f>
        <v/>
      </c>
      <c r="L632" s="10">
        <f>IF(A632="","",WEEKNUM(A632))</f>
        <v/>
      </c>
      <c r="M632" s="10">
        <f>IF(A632="","",IF(COUNTIFS(A:A,A632,B:B,B632,F:F,F632)&gt;1,"⚠ Possible Duplicate",""))</f>
        <v/>
      </c>
      <c r="N632" s="10" t="n"/>
    </row>
    <row r="633">
      <c r="A633" s="10" t="n"/>
      <c r="B633" s="10" t="n"/>
      <c r="C633" s="10" t="n"/>
      <c r="D633" s="10" t="n"/>
      <c r="E633" s="10" t="n"/>
      <c r="F633" s="13" t="n"/>
      <c r="G633" s="10" t="n"/>
      <c r="H633" s="10" t="n"/>
      <c r="I633" s="10" t="n"/>
      <c r="J633" s="10" t="n"/>
      <c r="K633" s="10">
        <f>IF(A633="","",TEXT(A633,"yyyy-mm"))</f>
        <v/>
      </c>
      <c r="L633" s="10">
        <f>IF(A633="","",WEEKNUM(A633))</f>
        <v/>
      </c>
      <c r="M633" s="10">
        <f>IF(A633="","",IF(COUNTIFS(A:A,A633,B:B,B633,F:F,F633)&gt;1,"⚠ Possible Duplicate",""))</f>
        <v/>
      </c>
      <c r="N633" s="10" t="n"/>
    </row>
    <row r="634">
      <c r="A634" s="10" t="n"/>
      <c r="B634" s="10" t="n"/>
      <c r="C634" s="10" t="n"/>
      <c r="D634" s="10" t="n"/>
      <c r="E634" s="10" t="n"/>
      <c r="F634" s="13" t="n"/>
      <c r="G634" s="10" t="n"/>
      <c r="H634" s="10" t="n"/>
      <c r="I634" s="10" t="n"/>
      <c r="J634" s="10" t="n"/>
      <c r="K634" s="10">
        <f>IF(A634="","",TEXT(A634,"yyyy-mm"))</f>
        <v/>
      </c>
      <c r="L634" s="10">
        <f>IF(A634="","",WEEKNUM(A634))</f>
        <v/>
      </c>
      <c r="M634" s="10">
        <f>IF(A634="","",IF(COUNTIFS(A:A,A634,B:B,B634,F:F,F634)&gt;1,"⚠ Possible Duplicate",""))</f>
        <v/>
      </c>
      <c r="N634" s="10" t="n"/>
    </row>
    <row r="635">
      <c r="A635" s="10" t="n"/>
      <c r="B635" s="10" t="n"/>
      <c r="C635" s="10" t="n"/>
      <c r="D635" s="10" t="n"/>
      <c r="E635" s="10" t="n"/>
      <c r="F635" s="13" t="n"/>
      <c r="G635" s="10" t="n"/>
      <c r="H635" s="10" t="n"/>
      <c r="I635" s="10" t="n"/>
      <c r="J635" s="10" t="n"/>
      <c r="K635" s="10">
        <f>IF(A635="","",TEXT(A635,"yyyy-mm"))</f>
        <v/>
      </c>
      <c r="L635" s="10">
        <f>IF(A635="","",WEEKNUM(A635))</f>
        <v/>
      </c>
      <c r="M635" s="10">
        <f>IF(A635="","",IF(COUNTIFS(A:A,A635,B:B,B635,F:F,F635)&gt;1,"⚠ Possible Duplicate",""))</f>
        <v/>
      </c>
      <c r="N635" s="10" t="n"/>
    </row>
    <row r="636">
      <c r="A636" s="10" t="n"/>
      <c r="B636" s="10" t="n"/>
      <c r="C636" s="10" t="n"/>
      <c r="D636" s="10" t="n"/>
      <c r="E636" s="10" t="n"/>
      <c r="F636" s="13" t="n"/>
      <c r="G636" s="10" t="n"/>
      <c r="H636" s="10" t="n"/>
      <c r="I636" s="10" t="n"/>
      <c r="J636" s="10" t="n"/>
      <c r="K636" s="10">
        <f>IF(A636="","",TEXT(A636,"yyyy-mm"))</f>
        <v/>
      </c>
      <c r="L636" s="10">
        <f>IF(A636="","",WEEKNUM(A636))</f>
        <v/>
      </c>
      <c r="M636" s="10">
        <f>IF(A636="","",IF(COUNTIFS(A:A,A636,B:B,B636,F:F,F636)&gt;1,"⚠ Possible Duplicate",""))</f>
        <v/>
      </c>
      <c r="N636" s="10" t="n"/>
    </row>
    <row r="637">
      <c r="A637" s="10" t="n"/>
      <c r="B637" s="10" t="n"/>
      <c r="C637" s="10" t="n"/>
      <c r="D637" s="10" t="n"/>
      <c r="E637" s="10" t="n"/>
      <c r="F637" s="13" t="n"/>
      <c r="G637" s="10" t="n"/>
      <c r="H637" s="10" t="n"/>
      <c r="I637" s="10" t="n"/>
      <c r="J637" s="10" t="n"/>
      <c r="K637" s="10">
        <f>IF(A637="","",TEXT(A637,"yyyy-mm"))</f>
        <v/>
      </c>
      <c r="L637" s="10">
        <f>IF(A637="","",WEEKNUM(A637))</f>
        <v/>
      </c>
      <c r="M637" s="10">
        <f>IF(A637="","",IF(COUNTIFS(A:A,A637,B:B,B637,F:F,F637)&gt;1,"⚠ Possible Duplicate",""))</f>
        <v/>
      </c>
      <c r="N637" s="10" t="n"/>
    </row>
    <row r="638">
      <c r="A638" s="10" t="n"/>
      <c r="B638" s="10" t="n"/>
      <c r="C638" s="10" t="n"/>
      <c r="D638" s="10" t="n"/>
      <c r="E638" s="10" t="n"/>
      <c r="F638" s="13" t="n"/>
      <c r="G638" s="10" t="n"/>
      <c r="H638" s="10" t="n"/>
      <c r="I638" s="10" t="n"/>
      <c r="J638" s="10" t="n"/>
      <c r="K638" s="10">
        <f>IF(A638="","",TEXT(A638,"yyyy-mm"))</f>
        <v/>
      </c>
      <c r="L638" s="10">
        <f>IF(A638="","",WEEKNUM(A638))</f>
        <v/>
      </c>
      <c r="M638" s="10">
        <f>IF(A638="","",IF(COUNTIFS(A:A,A638,B:B,B638,F:F,F638)&gt;1,"⚠ Possible Duplicate",""))</f>
        <v/>
      </c>
      <c r="N638" s="10" t="n"/>
    </row>
    <row r="639">
      <c r="A639" s="10" t="n"/>
      <c r="B639" s="10" t="n"/>
      <c r="C639" s="10" t="n"/>
      <c r="D639" s="10" t="n"/>
      <c r="E639" s="10" t="n"/>
      <c r="F639" s="13" t="n"/>
      <c r="G639" s="10" t="n"/>
      <c r="H639" s="10" t="n"/>
      <c r="I639" s="10" t="n"/>
      <c r="J639" s="10" t="n"/>
      <c r="K639" s="10">
        <f>IF(A639="","",TEXT(A639,"yyyy-mm"))</f>
        <v/>
      </c>
      <c r="L639" s="10">
        <f>IF(A639="","",WEEKNUM(A639))</f>
        <v/>
      </c>
      <c r="M639" s="10">
        <f>IF(A639="","",IF(COUNTIFS(A:A,A639,B:B,B639,F:F,F639)&gt;1,"⚠ Possible Duplicate",""))</f>
        <v/>
      </c>
      <c r="N639" s="10" t="n"/>
    </row>
    <row r="640">
      <c r="A640" s="10" t="n"/>
      <c r="B640" s="10" t="n"/>
      <c r="C640" s="10" t="n"/>
      <c r="D640" s="10" t="n"/>
      <c r="E640" s="10" t="n"/>
      <c r="F640" s="13" t="n"/>
      <c r="G640" s="10" t="n"/>
      <c r="H640" s="10" t="n"/>
      <c r="I640" s="10" t="n"/>
      <c r="J640" s="10" t="n"/>
      <c r="K640" s="10">
        <f>IF(A640="","",TEXT(A640,"yyyy-mm"))</f>
        <v/>
      </c>
      <c r="L640" s="10">
        <f>IF(A640="","",WEEKNUM(A640))</f>
        <v/>
      </c>
      <c r="M640" s="10">
        <f>IF(A640="","",IF(COUNTIFS(A:A,A640,B:B,B640,F:F,F640)&gt;1,"⚠ Possible Duplicate",""))</f>
        <v/>
      </c>
      <c r="N640" s="10" t="n"/>
    </row>
    <row r="641">
      <c r="A641" s="10" t="n"/>
      <c r="B641" s="10" t="n"/>
      <c r="C641" s="10" t="n"/>
      <c r="D641" s="10" t="n"/>
      <c r="E641" s="10" t="n"/>
      <c r="F641" s="13" t="n"/>
      <c r="G641" s="10" t="n"/>
      <c r="H641" s="10" t="n"/>
      <c r="I641" s="10" t="n"/>
      <c r="J641" s="10" t="n"/>
      <c r="K641" s="10">
        <f>IF(A641="","",TEXT(A641,"yyyy-mm"))</f>
        <v/>
      </c>
      <c r="L641" s="10">
        <f>IF(A641="","",WEEKNUM(A641))</f>
        <v/>
      </c>
      <c r="M641" s="10">
        <f>IF(A641="","",IF(COUNTIFS(A:A,A641,B:B,B641,F:F,F641)&gt;1,"⚠ Possible Duplicate",""))</f>
        <v/>
      </c>
      <c r="N641" s="10" t="n"/>
    </row>
    <row r="642">
      <c r="A642" s="10" t="n"/>
      <c r="B642" s="10" t="n"/>
      <c r="C642" s="10" t="n"/>
      <c r="D642" s="10" t="n"/>
      <c r="E642" s="10" t="n"/>
      <c r="F642" s="13" t="n"/>
      <c r="G642" s="10" t="n"/>
      <c r="H642" s="10" t="n"/>
      <c r="I642" s="10" t="n"/>
      <c r="J642" s="10" t="n"/>
      <c r="K642" s="10">
        <f>IF(A642="","",TEXT(A642,"yyyy-mm"))</f>
        <v/>
      </c>
      <c r="L642" s="10">
        <f>IF(A642="","",WEEKNUM(A642))</f>
        <v/>
      </c>
      <c r="M642" s="10">
        <f>IF(A642="","",IF(COUNTIFS(A:A,A642,B:B,B642,F:F,F642)&gt;1,"⚠ Possible Duplicate",""))</f>
        <v/>
      </c>
      <c r="N642" s="10" t="n"/>
    </row>
    <row r="643">
      <c r="A643" s="10" t="n"/>
      <c r="B643" s="10" t="n"/>
      <c r="C643" s="10" t="n"/>
      <c r="D643" s="10" t="n"/>
      <c r="E643" s="10" t="n"/>
      <c r="F643" s="13" t="n"/>
      <c r="G643" s="10" t="n"/>
      <c r="H643" s="10" t="n"/>
      <c r="I643" s="10" t="n"/>
      <c r="J643" s="10" t="n"/>
      <c r="K643" s="10">
        <f>IF(A643="","",TEXT(A643,"yyyy-mm"))</f>
        <v/>
      </c>
      <c r="L643" s="10">
        <f>IF(A643="","",WEEKNUM(A643))</f>
        <v/>
      </c>
      <c r="M643" s="10">
        <f>IF(A643="","",IF(COUNTIFS(A:A,A643,B:B,B643,F:F,F643)&gt;1,"⚠ Possible Duplicate",""))</f>
        <v/>
      </c>
      <c r="N643" s="10" t="n"/>
    </row>
    <row r="644">
      <c r="A644" s="10" t="n"/>
      <c r="B644" s="10" t="n"/>
      <c r="C644" s="10" t="n"/>
      <c r="D644" s="10" t="n"/>
      <c r="E644" s="10" t="n"/>
      <c r="F644" s="13" t="n"/>
      <c r="G644" s="10" t="n"/>
      <c r="H644" s="10" t="n"/>
      <c r="I644" s="10" t="n"/>
      <c r="J644" s="10" t="n"/>
      <c r="K644" s="10">
        <f>IF(A644="","",TEXT(A644,"yyyy-mm"))</f>
        <v/>
      </c>
      <c r="L644" s="10">
        <f>IF(A644="","",WEEKNUM(A644))</f>
        <v/>
      </c>
      <c r="M644" s="10">
        <f>IF(A644="","",IF(COUNTIFS(A:A,A644,B:B,B644,F:F,F644)&gt;1,"⚠ Possible Duplicate",""))</f>
        <v/>
      </c>
      <c r="N644" s="10" t="n"/>
    </row>
    <row r="645">
      <c r="A645" s="10" t="n"/>
      <c r="B645" s="10" t="n"/>
      <c r="C645" s="10" t="n"/>
      <c r="D645" s="10" t="n"/>
      <c r="E645" s="10" t="n"/>
      <c r="F645" s="13" t="n"/>
      <c r="G645" s="10" t="n"/>
      <c r="H645" s="10" t="n"/>
      <c r="I645" s="10" t="n"/>
      <c r="J645" s="10" t="n"/>
      <c r="K645" s="10">
        <f>IF(A645="","",TEXT(A645,"yyyy-mm"))</f>
        <v/>
      </c>
      <c r="L645" s="10">
        <f>IF(A645="","",WEEKNUM(A645))</f>
        <v/>
      </c>
      <c r="M645" s="10">
        <f>IF(A645="","",IF(COUNTIFS(A:A,A645,B:B,B645,F:F,F645)&gt;1,"⚠ Possible Duplicate",""))</f>
        <v/>
      </c>
      <c r="N645" s="10" t="n"/>
    </row>
    <row r="646">
      <c r="A646" s="10" t="n"/>
      <c r="B646" s="10" t="n"/>
      <c r="C646" s="10" t="n"/>
      <c r="D646" s="10" t="n"/>
      <c r="E646" s="10" t="n"/>
      <c r="F646" s="13" t="n"/>
      <c r="G646" s="10" t="n"/>
      <c r="H646" s="10" t="n"/>
      <c r="I646" s="10" t="n"/>
      <c r="J646" s="10" t="n"/>
      <c r="K646" s="10">
        <f>IF(A646="","",TEXT(A646,"yyyy-mm"))</f>
        <v/>
      </c>
      <c r="L646" s="10">
        <f>IF(A646="","",WEEKNUM(A646))</f>
        <v/>
      </c>
      <c r="M646" s="10">
        <f>IF(A646="","",IF(COUNTIFS(A:A,A646,B:B,B646,F:F,F646)&gt;1,"⚠ Possible Duplicate",""))</f>
        <v/>
      </c>
      <c r="N646" s="10" t="n"/>
    </row>
    <row r="647">
      <c r="A647" s="10" t="n"/>
      <c r="B647" s="10" t="n"/>
      <c r="C647" s="10" t="n"/>
      <c r="D647" s="10" t="n"/>
      <c r="E647" s="10" t="n"/>
      <c r="F647" s="13" t="n"/>
      <c r="G647" s="10" t="n"/>
      <c r="H647" s="10" t="n"/>
      <c r="I647" s="10" t="n"/>
      <c r="J647" s="10" t="n"/>
      <c r="K647" s="10">
        <f>IF(A647="","",TEXT(A647,"yyyy-mm"))</f>
        <v/>
      </c>
      <c r="L647" s="10">
        <f>IF(A647="","",WEEKNUM(A647))</f>
        <v/>
      </c>
      <c r="M647" s="10">
        <f>IF(A647="","",IF(COUNTIFS(A:A,A647,B:B,B647,F:F,F647)&gt;1,"⚠ Possible Duplicate",""))</f>
        <v/>
      </c>
      <c r="N647" s="10" t="n"/>
    </row>
    <row r="648">
      <c r="A648" s="10" t="n"/>
      <c r="B648" s="10" t="n"/>
      <c r="C648" s="10" t="n"/>
      <c r="D648" s="10" t="n"/>
      <c r="E648" s="10" t="n"/>
      <c r="F648" s="13" t="n"/>
      <c r="G648" s="10" t="n"/>
      <c r="H648" s="10" t="n"/>
      <c r="I648" s="10" t="n"/>
      <c r="J648" s="10" t="n"/>
      <c r="K648" s="10">
        <f>IF(A648="","",TEXT(A648,"yyyy-mm"))</f>
        <v/>
      </c>
      <c r="L648" s="10">
        <f>IF(A648="","",WEEKNUM(A648))</f>
        <v/>
      </c>
      <c r="M648" s="10">
        <f>IF(A648="","",IF(COUNTIFS(A:A,A648,B:B,B648,F:F,F648)&gt;1,"⚠ Possible Duplicate",""))</f>
        <v/>
      </c>
      <c r="N648" s="10" t="n"/>
    </row>
    <row r="649">
      <c r="A649" s="10" t="n"/>
      <c r="B649" s="10" t="n"/>
      <c r="C649" s="10" t="n"/>
      <c r="D649" s="10" t="n"/>
      <c r="E649" s="10" t="n"/>
      <c r="F649" s="13" t="n"/>
      <c r="G649" s="10" t="n"/>
      <c r="H649" s="10" t="n"/>
      <c r="I649" s="10" t="n"/>
      <c r="J649" s="10" t="n"/>
      <c r="K649" s="10">
        <f>IF(A649="","",TEXT(A649,"yyyy-mm"))</f>
        <v/>
      </c>
      <c r="L649" s="10">
        <f>IF(A649="","",WEEKNUM(A649))</f>
        <v/>
      </c>
      <c r="M649" s="10">
        <f>IF(A649="","",IF(COUNTIFS(A:A,A649,B:B,B649,F:F,F649)&gt;1,"⚠ Possible Duplicate",""))</f>
        <v/>
      </c>
      <c r="N649" s="10" t="n"/>
    </row>
    <row r="650">
      <c r="A650" s="10" t="n"/>
      <c r="B650" s="10" t="n"/>
      <c r="C650" s="10" t="n"/>
      <c r="D650" s="10" t="n"/>
      <c r="E650" s="10" t="n"/>
      <c r="F650" s="13" t="n"/>
      <c r="G650" s="10" t="n"/>
      <c r="H650" s="10" t="n"/>
      <c r="I650" s="10" t="n"/>
      <c r="J650" s="10" t="n"/>
      <c r="K650" s="10">
        <f>IF(A650="","",TEXT(A650,"yyyy-mm"))</f>
        <v/>
      </c>
      <c r="L650" s="10">
        <f>IF(A650="","",WEEKNUM(A650))</f>
        <v/>
      </c>
      <c r="M650" s="10">
        <f>IF(A650="","",IF(COUNTIFS(A:A,A650,B:B,B650,F:F,F650)&gt;1,"⚠ Possible Duplicate",""))</f>
        <v/>
      </c>
      <c r="N650" s="10" t="n"/>
    </row>
    <row r="651">
      <c r="A651" s="10" t="n"/>
      <c r="B651" s="10" t="n"/>
      <c r="C651" s="10" t="n"/>
      <c r="D651" s="10" t="n"/>
      <c r="E651" s="10" t="n"/>
      <c r="F651" s="13" t="n"/>
      <c r="G651" s="10" t="n"/>
      <c r="H651" s="10" t="n"/>
      <c r="I651" s="10" t="n"/>
      <c r="J651" s="10" t="n"/>
      <c r="K651" s="10">
        <f>IF(A651="","",TEXT(A651,"yyyy-mm"))</f>
        <v/>
      </c>
      <c r="L651" s="10">
        <f>IF(A651="","",WEEKNUM(A651))</f>
        <v/>
      </c>
      <c r="M651" s="10">
        <f>IF(A651="","",IF(COUNTIFS(A:A,A651,B:B,B651,F:F,F651)&gt;1,"⚠ Possible Duplicate",""))</f>
        <v/>
      </c>
      <c r="N651" s="10" t="n"/>
    </row>
    <row r="652">
      <c r="A652" s="10" t="n"/>
      <c r="B652" s="10" t="n"/>
      <c r="C652" s="10" t="n"/>
      <c r="D652" s="10" t="n"/>
      <c r="E652" s="10" t="n"/>
      <c r="F652" s="13" t="n"/>
      <c r="G652" s="10" t="n"/>
      <c r="H652" s="10" t="n"/>
      <c r="I652" s="10" t="n"/>
      <c r="J652" s="10" t="n"/>
      <c r="K652" s="10">
        <f>IF(A652="","",TEXT(A652,"yyyy-mm"))</f>
        <v/>
      </c>
      <c r="L652" s="10">
        <f>IF(A652="","",WEEKNUM(A652))</f>
        <v/>
      </c>
      <c r="M652" s="10">
        <f>IF(A652="","",IF(COUNTIFS(A:A,A652,B:B,B652,F:F,F652)&gt;1,"⚠ Possible Duplicate",""))</f>
        <v/>
      </c>
      <c r="N652" s="10" t="n"/>
    </row>
    <row r="653">
      <c r="A653" s="10" t="n"/>
      <c r="B653" s="10" t="n"/>
      <c r="C653" s="10" t="n"/>
      <c r="D653" s="10" t="n"/>
      <c r="E653" s="10" t="n"/>
      <c r="F653" s="13" t="n"/>
      <c r="G653" s="10" t="n"/>
      <c r="H653" s="10" t="n"/>
      <c r="I653" s="10" t="n"/>
      <c r="J653" s="10" t="n"/>
      <c r="K653" s="10">
        <f>IF(A653="","",TEXT(A653,"yyyy-mm"))</f>
        <v/>
      </c>
      <c r="L653" s="10">
        <f>IF(A653="","",WEEKNUM(A653))</f>
        <v/>
      </c>
      <c r="M653" s="10">
        <f>IF(A653="","",IF(COUNTIFS(A:A,A653,B:B,B653,F:F,F653)&gt;1,"⚠ Possible Duplicate",""))</f>
        <v/>
      </c>
      <c r="N653" s="10" t="n"/>
    </row>
    <row r="654">
      <c r="A654" s="10" t="n"/>
      <c r="B654" s="10" t="n"/>
      <c r="C654" s="10" t="n"/>
      <c r="D654" s="10" t="n"/>
      <c r="E654" s="10" t="n"/>
      <c r="F654" s="13" t="n"/>
      <c r="G654" s="10" t="n"/>
      <c r="H654" s="10" t="n"/>
      <c r="I654" s="10" t="n"/>
      <c r="J654" s="10" t="n"/>
      <c r="K654" s="10">
        <f>IF(A654="","",TEXT(A654,"yyyy-mm"))</f>
        <v/>
      </c>
      <c r="L654" s="10">
        <f>IF(A654="","",WEEKNUM(A654))</f>
        <v/>
      </c>
      <c r="M654" s="10">
        <f>IF(A654="","",IF(COUNTIFS(A:A,A654,B:B,B654,F:F,F654)&gt;1,"⚠ Possible Duplicate",""))</f>
        <v/>
      </c>
      <c r="N654" s="10" t="n"/>
    </row>
    <row r="655">
      <c r="A655" s="10" t="n"/>
      <c r="B655" s="10" t="n"/>
      <c r="C655" s="10" t="n"/>
      <c r="D655" s="10" t="n"/>
      <c r="E655" s="10" t="n"/>
      <c r="F655" s="13" t="n"/>
      <c r="G655" s="10" t="n"/>
      <c r="H655" s="10" t="n"/>
      <c r="I655" s="10" t="n"/>
      <c r="J655" s="10" t="n"/>
      <c r="K655" s="10">
        <f>IF(A655="","",TEXT(A655,"yyyy-mm"))</f>
        <v/>
      </c>
      <c r="L655" s="10">
        <f>IF(A655="","",WEEKNUM(A655))</f>
        <v/>
      </c>
      <c r="M655" s="10">
        <f>IF(A655="","",IF(COUNTIFS(A:A,A655,B:B,B655,F:F,F655)&gt;1,"⚠ Possible Duplicate",""))</f>
        <v/>
      </c>
      <c r="N655" s="10" t="n"/>
    </row>
    <row r="656">
      <c r="A656" s="10" t="n"/>
      <c r="B656" s="10" t="n"/>
      <c r="C656" s="10" t="n"/>
      <c r="D656" s="10" t="n"/>
      <c r="E656" s="10" t="n"/>
      <c r="F656" s="13" t="n"/>
      <c r="G656" s="10" t="n"/>
      <c r="H656" s="10" t="n"/>
      <c r="I656" s="10" t="n"/>
      <c r="J656" s="10" t="n"/>
      <c r="K656" s="10">
        <f>IF(A656="","",TEXT(A656,"yyyy-mm"))</f>
        <v/>
      </c>
      <c r="L656" s="10">
        <f>IF(A656="","",WEEKNUM(A656))</f>
        <v/>
      </c>
      <c r="M656" s="10">
        <f>IF(A656="","",IF(COUNTIFS(A:A,A656,B:B,B656,F:F,F656)&gt;1,"⚠ Possible Duplicate",""))</f>
        <v/>
      </c>
      <c r="N656" s="10" t="n"/>
    </row>
    <row r="657">
      <c r="A657" s="10" t="n"/>
      <c r="B657" s="10" t="n"/>
      <c r="C657" s="10" t="n"/>
      <c r="D657" s="10" t="n"/>
      <c r="E657" s="10" t="n"/>
      <c r="F657" s="13" t="n"/>
      <c r="G657" s="10" t="n"/>
      <c r="H657" s="10" t="n"/>
      <c r="I657" s="10" t="n"/>
      <c r="J657" s="10" t="n"/>
      <c r="K657" s="10">
        <f>IF(A657="","",TEXT(A657,"yyyy-mm"))</f>
        <v/>
      </c>
      <c r="L657" s="10">
        <f>IF(A657="","",WEEKNUM(A657))</f>
        <v/>
      </c>
      <c r="M657" s="10">
        <f>IF(A657="","",IF(COUNTIFS(A:A,A657,B:B,B657,F:F,F657)&gt;1,"⚠ Possible Duplicate",""))</f>
        <v/>
      </c>
      <c r="N657" s="10" t="n"/>
    </row>
    <row r="658">
      <c r="A658" s="10" t="n"/>
      <c r="B658" s="10" t="n"/>
      <c r="C658" s="10" t="n"/>
      <c r="D658" s="10" t="n"/>
      <c r="E658" s="10" t="n"/>
      <c r="F658" s="13" t="n"/>
      <c r="G658" s="10" t="n"/>
      <c r="H658" s="10" t="n"/>
      <c r="I658" s="10" t="n"/>
      <c r="J658" s="10" t="n"/>
      <c r="K658" s="10">
        <f>IF(A658="","",TEXT(A658,"yyyy-mm"))</f>
        <v/>
      </c>
      <c r="L658" s="10">
        <f>IF(A658="","",WEEKNUM(A658))</f>
        <v/>
      </c>
      <c r="M658" s="10">
        <f>IF(A658="","",IF(COUNTIFS(A:A,A658,B:B,B658,F:F,F658)&gt;1,"⚠ Possible Duplicate",""))</f>
        <v/>
      </c>
      <c r="N658" s="10" t="n"/>
    </row>
    <row r="659">
      <c r="A659" s="10" t="n"/>
      <c r="B659" s="10" t="n"/>
      <c r="C659" s="10" t="n"/>
      <c r="D659" s="10" t="n"/>
      <c r="E659" s="10" t="n"/>
      <c r="F659" s="13" t="n"/>
      <c r="G659" s="10" t="n"/>
      <c r="H659" s="10" t="n"/>
      <c r="I659" s="10" t="n"/>
      <c r="J659" s="10" t="n"/>
      <c r="K659" s="10">
        <f>IF(A659="","",TEXT(A659,"yyyy-mm"))</f>
        <v/>
      </c>
      <c r="L659" s="10">
        <f>IF(A659="","",WEEKNUM(A659))</f>
        <v/>
      </c>
      <c r="M659" s="10">
        <f>IF(A659="","",IF(COUNTIFS(A:A,A659,B:B,B659,F:F,F659)&gt;1,"⚠ Possible Duplicate",""))</f>
        <v/>
      </c>
      <c r="N659" s="10" t="n"/>
    </row>
    <row r="660">
      <c r="A660" s="10" t="n"/>
      <c r="B660" s="10" t="n"/>
      <c r="C660" s="10" t="n"/>
      <c r="D660" s="10" t="n"/>
      <c r="E660" s="10" t="n"/>
      <c r="F660" s="13" t="n"/>
      <c r="G660" s="10" t="n"/>
      <c r="H660" s="10" t="n"/>
      <c r="I660" s="10" t="n"/>
      <c r="J660" s="10" t="n"/>
      <c r="K660" s="10">
        <f>IF(A660="","",TEXT(A660,"yyyy-mm"))</f>
        <v/>
      </c>
      <c r="L660" s="10">
        <f>IF(A660="","",WEEKNUM(A660))</f>
        <v/>
      </c>
      <c r="M660" s="10">
        <f>IF(A660="","",IF(COUNTIFS(A:A,A660,B:B,B660,F:F,F660)&gt;1,"⚠ Possible Duplicate",""))</f>
        <v/>
      </c>
      <c r="N660" s="10" t="n"/>
    </row>
    <row r="661">
      <c r="A661" s="10" t="n"/>
      <c r="B661" s="10" t="n"/>
      <c r="C661" s="10" t="n"/>
      <c r="D661" s="10" t="n"/>
      <c r="E661" s="10" t="n"/>
      <c r="F661" s="13" t="n"/>
      <c r="G661" s="10" t="n"/>
      <c r="H661" s="10" t="n"/>
      <c r="I661" s="10" t="n"/>
      <c r="J661" s="10" t="n"/>
      <c r="K661" s="10">
        <f>IF(A661="","",TEXT(A661,"yyyy-mm"))</f>
        <v/>
      </c>
      <c r="L661" s="10">
        <f>IF(A661="","",WEEKNUM(A661))</f>
        <v/>
      </c>
      <c r="M661" s="10">
        <f>IF(A661="","",IF(COUNTIFS(A:A,A661,B:B,B661,F:F,F661)&gt;1,"⚠ Possible Duplicate",""))</f>
        <v/>
      </c>
      <c r="N661" s="10" t="n"/>
    </row>
    <row r="662">
      <c r="A662" s="10" t="n"/>
      <c r="B662" s="10" t="n"/>
      <c r="C662" s="10" t="n"/>
      <c r="D662" s="10" t="n"/>
      <c r="E662" s="10" t="n"/>
      <c r="F662" s="13" t="n"/>
      <c r="G662" s="10" t="n"/>
      <c r="H662" s="10" t="n"/>
      <c r="I662" s="10" t="n"/>
      <c r="J662" s="10" t="n"/>
      <c r="K662" s="10">
        <f>IF(A662="","",TEXT(A662,"yyyy-mm"))</f>
        <v/>
      </c>
      <c r="L662" s="10">
        <f>IF(A662="","",WEEKNUM(A662))</f>
        <v/>
      </c>
      <c r="M662" s="10">
        <f>IF(A662="","",IF(COUNTIFS(A:A,A662,B:B,B662,F:F,F662)&gt;1,"⚠ Possible Duplicate",""))</f>
        <v/>
      </c>
      <c r="N662" s="10" t="n"/>
    </row>
    <row r="663">
      <c r="A663" s="10" t="n"/>
      <c r="B663" s="10" t="n"/>
      <c r="C663" s="10" t="n"/>
      <c r="D663" s="10" t="n"/>
      <c r="E663" s="10" t="n"/>
      <c r="F663" s="13" t="n"/>
      <c r="G663" s="10" t="n"/>
      <c r="H663" s="10" t="n"/>
      <c r="I663" s="10" t="n"/>
      <c r="J663" s="10" t="n"/>
      <c r="K663" s="10">
        <f>IF(A663="","",TEXT(A663,"yyyy-mm"))</f>
        <v/>
      </c>
      <c r="L663" s="10">
        <f>IF(A663="","",WEEKNUM(A663))</f>
        <v/>
      </c>
      <c r="M663" s="10">
        <f>IF(A663="","",IF(COUNTIFS(A:A,A663,B:B,B663,F:F,F663)&gt;1,"⚠ Possible Duplicate",""))</f>
        <v/>
      </c>
      <c r="N663" s="10" t="n"/>
    </row>
    <row r="664">
      <c r="A664" s="10" t="n"/>
      <c r="B664" s="10" t="n"/>
      <c r="C664" s="10" t="n"/>
      <c r="D664" s="10" t="n"/>
      <c r="E664" s="10" t="n"/>
      <c r="F664" s="13" t="n"/>
      <c r="G664" s="10" t="n"/>
      <c r="H664" s="10" t="n"/>
      <c r="I664" s="10" t="n"/>
      <c r="J664" s="10" t="n"/>
      <c r="K664" s="10">
        <f>IF(A664="","",TEXT(A664,"yyyy-mm"))</f>
        <v/>
      </c>
      <c r="L664" s="10">
        <f>IF(A664="","",WEEKNUM(A664))</f>
        <v/>
      </c>
      <c r="M664" s="10">
        <f>IF(A664="","",IF(COUNTIFS(A:A,A664,B:B,B664,F:F,F664)&gt;1,"⚠ Possible Duplicate",""))</f>
        <v/>
      </c>
      <c r="N664" s="10" t="n"/>
    </row>
    <row r="665">
      <c r="A665" s="10" t="n"/>
      <c r="B665" s="10" t="n"/>
      <c r="C665" s="10" t="n"/>
      <c r="D665" s="10" t="n"/>
      <c r="E665" s="10" t="n"/>
      <c r="F665" s="13" t="n"/>
      <c r="G665" s="10" t="n"/>
      <c r="H665" s="10" t="n"/>
      <c r="I665" s="10" t="n"/>
      <c r="J665" s="10" t="n"/>
      <c r="K665" s="10">
        <f>IF(A665="","",TEXT(A665,"yyyy-mm"))</f>
        <v/>
      </c>
      <c r="L665" s="10">
        <f>IF(A665="","",WEEKNUM(A665))</f>
        <v/>
      </c>
      <c r="M665" s="10">
        <f>IF(A665="","",IF(COUNTIFS(A:A,A665,B:B,B665,F:F,F665)&gt;1,"⚠ Possible Duplicate",""))</f>
        <v/>
      </c>
      <c r="N665" s="10" t="n"/>
    </row>
    <row r="666">
      <c r="A666" s="10" t="n"/>
      <c r="B666" s="10" t="n"/>
      <c r="C666" s="10" t="n"/>
      <c r="D666" s="10" t="n"/>
      <c r="E666" s="10" t="n"/>
      <c r="F666" s="13" t="n"/>
      <c r="G666" s="10" t="n"/>
      <c r="H666" s="10" t="n"/>
      <c r="I666" s="10" t="n"/>
      <c r="J666" s="10" t="n"/>
      <c r="K666" s="10">
        <f>IF(A666="","",TEXT(A666,"yyyy-mm"))</f>
        <v/>
      </c>
      <c r="L666" s="10">
        <f>IF(A666="","",WEEKNUM(A666))</f>
        <v/>
      </c>
      <c r="M666" s="10">
        <f>IF(A666="","",IF(COUNTIFS(A:A,A666,B:B,B666,F:F,F666)&gt;1,"⚠ Possible Duplicate",""))</f>
        <v/>
      </c>
      <c r="N666" s="10" t="n"/>
    </row>
    <row r="667">
      <c r="A667" s="10" t="n"/>
      <c r="B667" s="10" t="n"/>
      <c r="C667" s="10" t="n"/>
      <c r="D667" s="10" t="n"/>
      <c r="E667" s="10" t="n"/>
      <c r="F667" s="13" t="n"/>
      <c r="G667" s="10" t="n"/>
      <c r="H667" s="10" t="n"/>
      <c r="I667" s="10" t="n"/>
      <c r="J667" s="10" t="n"/>
      <c r="K667" s="10">
        <f>IF(A667="","",TEXT(A667,"yyyy-mm"))</f>
        <v/>
      </c>
      <c r="L667" s="10">
        <f>IF(A667="","",WEEKNUM(A667))</f>
        <v/>
      </c>
      <c r="M667" s="10">
        <f>IF(A667="","",IF(COUNTIFS(A:A,A667,B:B,B667,F:F,F667)&gt;1,"⚠ Possible Duplicate",""))</f>
        <v/>
      </c>
      <c r="N667" s="10" t="n"/>
    </row>
    <row r="668">
      <c r="A668" s="10" t="n"/>
      <c r="B668" s="10" t="n"/>
      <c r="C668" s="10" t="n"/>
      <c r="D668" s="10" t="n"/>
      <c r="E668" s="10" t="n"/>
      <c r="F668" s="13" t="n"/>
      <c r="G668" s="10" t="n"/>
      <c r="H668" s="10" t="n"/>
      <c r="I668" s="10" t="n"/>
      <c r="J668" s="10" t="n"/>
      <c r="K668" s="10">
        <f>IF(A668="","",TEXT(A668,"yyyy-mm"))</f>
        <v/>
      </c>
      <c r="L668" s="10">
        <f>IF(A668="","",WEEKNUM(A668))</f>
        <v/>
      </c>
      <c r="M668" s="10">
        <f>IF(A668="","",IF(COUNTIFS(A:A,A668,B:B,B668,F:F,F668)&gt;1,"⚠ Possible Duplicate",""))</f>
        <v/>
      </c>
      <c r="N668" s="10" t="n"/>
    </row>
    <row r="669">
      <c r="A669" s="10" t="n"/>
      <c r="B669" s="10" t="n"/>
      <c r="C669" s="10" t="n"/>
      <c r="D669" s="10" t="n"/>
      <c r="E669" s="10" t="n"/>
      <c r="F669" s="13" t="n"/>
      <c r="G669" s="10" t="n"/>
      <c r="H669" s="10" t="n"/>
      <c r="I669" s="10" t="n"/>
      <c r="J669" s="10" t="n"/>
      <c r="K669" s="10">
        <f>IF(A669="","",TEXT(A669,"yyyy-mm"))</f>
        <v/>
      </c>
      <c r="L669" s="10">
        <f>IF(A669="","",WEEKNUM(A669))</f>
        <v/>
      </c>
      <c r="M669" s="10">
        <f>IF(A669="","",IF(COUNTIFS(A:A,A669,B:B,B669,F:F,F669)&gt;1,"⚠ Possible Duplicate",""))</f>
        <v/>
      </c>
      <c r="N669" s="10" t="n"/>
    </row>
    <row r="670">
      <c r="A670" s="10" t="n"/>
      <c r="B670" s="10" t="n"/>
      <c r="C670" s="10" t="n"/>
      <c r="D670" s="10" t="n"/>
      <c r="E670" s="10" t="n"/>
      <c r="F670" s="13" t="n"/>
      <c r="G670" s="10" t="n"/>
      <c r="H670" s="10" t="n"/>
      <c r="I670" s="10" t="n"/>
      <c r="J670" s="10" t="n"/>
      <c r="K670" s="10">
        <f>IF(A670="","",TEXT(A670,"yyyy-mm"))</f>
        <v/>
      </c>
      <c r="L670" s="10">
        <f>IF(A670="","",WEEKNUM(A670))</f>
        <v/>
      </c>
      <c r="M670" s="10">
        <f>IF(A670="","",IF(COUNTIFS(A:A,A670,B:B,B670,F:F,F670)&gt;1,"⚠ Possible Duplicate",""))</f>
        <v/>
      </c>
      <c r="N670" s="10" t="n"/>
    </row>
    <row r="671">
      <c r="A671" s="10" t="n"/>
      <c r="B671" s="10" t="n"/>
      <c r="C671" s="10" t="n"/>
      <c r="D671" s="10" t="n"/>
      <c r="E671" s="10" t="n"/>
      <c r="F671" s="13" t="n"/>
      <c r="G671" s="10" t="n"/>
      <c r="H671" s="10" t="n"/>
      <c r="I671" s="10" t="n"/>
      <c r="J671" s="10" t="n"/>
      <c r="K671" s="10">
        <f>IF(A671="","",TEXT(A671,"yyyy-mm"))</f>
        <v/>
      </c>
      <c r="L671" s="10">
        <f>IF(A671="","",WEEKNUM(A671))</f>
        <v/>
      </c>
      <c r="M671" s="10">
        <f>IF(A671="","",IF(COUNTIFS(A:A,A671,B:B,B671,F:F,F671)&gt;1,"⚠ Possible Duplicate",""))</f>
        <v/>
      </c>
      <c r="N671" s="10" t="n"/>
    </row>
    <row r="672">
      <c r="A672" s="10" t="n"/>
      <c r="B672" s="10" t="n"/>
      <c r="C672" s="10" t="n"/>
      <c r="D672" s="10" t="n"/>
      <c r="E672" s="10" t="n"/>
      <c r="F672" s="13" t="n"/>
      <c r="G672" s="10" t="n"/>
      <c r="H672" s="10" t="n"/>
      <c r="I672" s="10" t="n"/>
      <c r="J672" s="10" t="n"/>
      <c r="K672" s="10">
        <f>IF(A672="","",TEXT(A672,"yyyy-mm"))</f>
        <v/>
      </c>
      <c r="L672" s="10">
        <f>IF(A672="","",WEEKNUM(A672))</f>
        <v/>
      </c>
      <c r="M672" s="10">
        <f>IF(A672="","",IF(COUNTIFS(A:A,A672,B:B,B672,F:F,F672)&gt;1,"⚠ Possible Duplicate",""))</f>
        <v/>
      </c>
      <c r="N672" s="10" t="n"/>
    </row>
    <row r="673">
      <c r="A673" s="10" t="n"/>
      <c r="B673" s="10" t="n"/>
      <c r="C673" s="10" t="n"/>
      <c r="D673" s="10" t="n"/>
      <c r="E673" s="10" t="n"/>
      <c r="F673" s="13" t="n"/>
      <c r="G673" s="10" t="n"/>
      <c r="H673" s="10" t="n"/>
      <c r="I673" s="10" t="n"/>
      <c r="J673" s="10" t="n"/>
      <c r="K673" s="10">
        <f>IF(A673="","",TEXT(A673,"yyyy-mm"))</f>
        <v/>
      </c>
      <c r="L673" s="10">
        <f>IF(A673="","",WEEKNUM(A673))</f>
        <v/>
      </c>
      <c r="M673" s="10">
        <f>IF(A673="","",IF(COUNTIFS(A:A,A673,B:B,B673,F:F,F673)&gt;1,"⚠ Possible Duplicate",""))</f>
        <v/>
      </c>
      <c r="N673" s="10" t="n"/>
    </row>
    <row r="674">
      <c r="A674" s="10" t="n"/>
      <c r="B674" s="10" t="n"/>
      <c r="C674" s="10" t="n"/>
      <c r="D674" s="10" t="n"/>
      <c r="E674" s="10" t="n"/>
      <c r="F674" s="13" t="n"/>
      <c r="G674" s="10" t="n"/>
      <c r="H674" s="10" t="n"/>
      <c r="I674" s="10" t="n"/>
      <c r="J674" s="10" t="n"/>
      <c r="K674" s="10">
        <f>IF(A674="","",TEXT(A674,"yyyy-mm"))</f>
        <v/>
      </c>
      <c r="L674" s="10">
        <f>IF(A674="","",WEEKNUM(A674))</f>
        <v/>
      </c>
      <c r="M674" s="10">
        <f>IF(A674="","",IF(COUNTIFS(A:A,A674,B:B,B674,F:F,F674)&gt;1,"⚠ Possible Duplicate",""))</f>
        <v/>
      </c>
      <c r="N674" s="10" t="n"/>
    </row>
    <row r="675">
      <c r="A675" s="10" t="n"/>
      <c r="B675" s="10" t="n"/>
      <c r="C675" s="10" t="n"/>
      <c r="D675" s="10" t="n"/>
      <c r="E675" s="10" t="n"/>
      <c r="F675" s="13" t="n"/>
      <c r="G675" s="10" t="n"/>
      <c r="H675" s="10" t="n"/>
      <c r="I675" s="10" t="n"/>
      <c r="J675" s="10" t="n"/>
      <c r="K675" s="10">
        <f>IF(A675="","",TEXT(A675,"yyyy-mm"))</f>
        <v/>
      </c>
      <c r="L675" s="10">
        <f>IF(A675="","",WEEKNUM(A675))</f>
        <v/>
      </c>
      <c r="M675" s="10">
        <f>IF(A675="","",IF(COUNTIFS(A:A,A675,B:B,B675,F:F,F675)&gt;1,"⚠ Possible Duplicate",""))</f>
        <v/>
      </c>
      <c r="N675" s="10" t="n"/>
    </row>
    <row r="676">
      <c r="A676" s="10" t="n"/>
      <c r="B676" s="10" t="n"/>
      <c r="C676" s="10" t="n"/>
      <c r="D676" s="10" t="n"/>
      <c r="E676" s="10" t="n"/>
      <c r="F676" s="13" t="n"/>
      <c r="G676" s="10" t="n"/>
      <c r="H676" s="10" t="n"/>
      <c r="I676" s="10" t="n"/>
      <c r="J676" s="10" t="n"/>
      <c r="K676" s="10">
        <f>IF(A676="","",TEXT(A676,"yyyy-mm"))</f>
        <v/>
      </c>
      <c r="L676" s="10">
        <f>IF(A676="","",WEEKNUM(A676))</f>
        <v/>
      </c>
      <c r="M676" s="10">
        <f>IF(A676="","",IF(COUNTIFS(A:A,A676,B:B,B676,F:F,F676)&gt;1,"⚠ Possible Duplicate",""))</f>
        <v/>
      </c>
      <c r="N676" s="10" t="n"/>
    </row>
    <row r="677">
      <c r="A677" s="10" t="n"/>
      <c r="B677" s="10" t="n"/>
      <c r="C677" s="10" t="n"/>
      <c r="D677" s="10" t="n"/>
      <c r="E677" s="10" t="n"/>
      <c r="F677" s="13" t="n"/>
      <c r="G677" s="10" t="n"/>
      <c r="H677" s="10" t="n"/>
      <c r="I677" s="10" t="n"/>
      <c r="J677" s="10" t="n"/>
      <c r="K677" s="10">
        <f>IF(A677="","",TEXT(A677,"yyyy-mm"))</f>
        <v/>
      </c>
      <c r="L677" s="10">
        <f>IF(A677="","",WEEKNUM(A677))</f>
        <v/>
      </c>
      <c r="M677" s="10">
        <f>IF(A677="","",IF(COUNTIFS(A:A,A677,B:B,B677,F:F,F677)&gt;1,"⚠ Possible Duplicate",""))</f>
        <v/>
      </c>
      <c r="N677" s="10" t="n"/>
    </row>
    <row r="678">
      <c r="A678" s="10" t="n"/>
      <c r="B678" s="10" t="n"/>
      <c r="C678" s="10" t="n"/>
      <c r="D678" s="10" t="n"/>
      <c r="E678" s="10" t="n"/>
      <c r="F678" s="13" t="n"/>
      <c r="G678" s="10" t="n"/>
      <c r="H678" s="10" t="n"/>
      <c r="I678" s="10" t="n"/>
      <c r="J678" s="10" t="n"/>
      <c r="K678" s="10">
        <f>IF(A678="","",TEXT(A678,"yyyy-mm"))</f>
        <v/>
      </c>
      <c r="L678" s="10">
        <f>IF(A678="","",WEEKNUM(A678))</f>
        <v/>
      </c>
      <c r="M678" s="10">
        <f>IF(A678="","",IF(COUNTIFS(A:A,A678,B:B,B678,F:F,F678)&gt;1,"⚠ Possible Duplicate",""))</f>
        <v/>
      </c>
      <c r="N678" s="10" t="n"/>
    </row>
    <row r="679">
      <c r="A679" s="10" t="n"/>
      <c r="B679" s="10" t="n"/>
      <c r="C679" s="10" t="n"/>
      <c r="D679" s="10" t="n"/>
      <c r="E679" s="10" t="n"/>
      <c r="F679" s="13" t="n"/>
      <c r="G679" s="10" t="n"/>
      <c r="H679" s="10" t="n"/>
      <c r="I679" s="10" t="n"/>
      <c r="J679" s="10" t="n"/>
      <c r="K679" s="10">
        <f>IF(A679="","",TEXT(A679,"yyyy-mm"))</f>
        <v/>
      </c>
      <c r="L679" s="10">
        <f>IF(A679="","",WEEKNUM(A679))</f>
        <v/>
      </c>
      <c r="M679" s="10">
        <f>IF(A679="","",IF(COUNTIFS(A:A,A679,B:B,B679,F:F,F679)&gt;1,"⚠ Possible Duplicate",""))</f>
        <v/>
      </c>
      <c r="N679" s="10" t="n"/>
    </row>
    <row r="680">
      <c r="A680" s="10" t="n"/>
      <c r="B680" s="10" t="n"/>
      <c r="C680" s="10" t="n"/>
      <c r="D680" s="10" t="n"/>
      <c r="E680" s="10" t="n"/>
      <c r="F680" s="13" t="n"/>
      <c r="G680" s="10" t="n"/>
      <c r="H680" s="10" t="n"/>
      <c r="I680" s="10" t="n"/>
      <c r="J680" s="10" t="n"/>
      <c r="K680" s="10">
        <f>IF(A680="","",TEXT(A680,"yyyy-mm"))</f>
        <v/>
      </c>
      <c r="L680" s="10">
        <f>IF(A680="","",WEEKNUM(A680))</f>
        <v/>
      </c>
      <c r="M680" s="10">
        <f>IF(A680="","",IF(COUNTIFS(A:A,A680,B:B,B680,F:F,F680)&gt;1,"⚠ Possible Duplicate",""))</f>
        <v/>
      </c>
      <c r="N680" s="10" t="n"/>
    </row>
    <row r="681">
      <c r="A681" s="10" t="n"/>
      <c r="B681" s="10" t="n"/>
      <c r="C681" s="10" t="n"/>
      <c r="D681" s="10" t="n"/>
      <c r="E681" s="10" t="n"/>
      <c r="F681" s="13" t="n"/>
      <c r="G681" s="10" t="n"/>
      <c r="H681" s="10" t="n"/>
      <c r="I681" s="10" t="n"/>
      <c r="J681" s="10" t="n"/>
      <c r="K681" s="10">
        <f>IF(A681="","",TEXT(A681,"yyyy-mm"))</f>
        <v/>
      </c>
      <c r="L681" s="10">
        <f>IF(A681="","",WEEKNUM(A681))</f>
        <v/>
      </c>
      <c r="M681" s="10">
        <f>IF(A681="","",IF(COUNTIFS(A:A,A681,B:B,B681,F:F,F681)&gt;1,"⚠ Possible Duplicate",""))</f>
        <v/>
      </c>
      <c r="N681" s="10" t="n"/>
    </row>
    <row r="682">
      <c r="A682" s="10" t="n"/>
      <c r="B682" s="10" t="n"/>
      <c r="C682" s="10" t="n"/>
      <c r="D682" s="10" t="n"/>
      <c r="E682" s="10" t="n"/>
      <c r="F682" s="13" t="n"/>
      <c r="G682" s="10" t="n"/>
      <c r="H682" s="10" t="n"/>
      <c r="I682" s="10" t="n"/>
      <c r="J682" s="10" t="n"/>
      <c r="K682" s="10">
        <f>IF(A682="","",TEXT(A682,"yyyy-mm"))</f>
        <v/>
      </c>
      <c r="L682" s="10">
        <f>IF(A682="","",WEEKNUM(A682))</f>
        <v/>
      </c>
      <c r="M682" s="10">
        <f>IF(A682="","",IF(COUNTIFS(A:A,A682,B:B,B682,F:F,F682)&gt;1,"⚠ Possible Duplicate",""))</f>
        <v/>
      </c>
      <c r="N682" s="10" t="n"/>
    </row>
    <row r="683">
      <c r="A683" s="10" t="n"/>
      <c r="B683" s="10" t="n"/>
      <c r="C683" s="10" t="n"/>
      <c r="D683" s="10" t="n"/>
      <c r="E683" s="10" t="n"/>
      <c r="F683" s="13" t="n"/>
      <c r="G683" s="10" t="n"/>
      <c r="H683" s="10" t="n"/>
      <c r="I683" s="10" t="n"/>
      <c r="J683" s="10" t="n"/>
      <c r="K683" s="10">
        <f>IF(A683="","",TEXT(A683,"yyyy-mm"))</f>
        <v/>
      </c>
      <c r="L683" s="10">
        <f>IF(A683="","",WEEKNUM(A683))</f>
        <v/>
      </c>
      <c r="M683" s="10">
        <f>IF(A683="","",IF(COUNTIFS(A:A,A683,B:B,B683,F:F,F683)&gt;1,"⚠ Possible Duplicate",""))</f>
        <v/>
      </c>
      <c r="N683" s="10" t="n"/>
    </row>
    <row r="684">
      <c r="A684" s="10" t="n"/>
      <c r="B684" s="10" t="n"/>
      <c r="C684" s="10" t="n"/>
      <c r="D684" s="10" t="n"/>
      <c r="E684" s="10" t="n"/>
      <c r="F684" s="13" t="n"/>
      <c r="G684" s="10" t="n"/>
      <c r="H684" s="10" t="n"/>
      <c r="I684" s="10" t="n"/>
      <c r="J684" s="10" t="n"/>
      <c r="K684" s="10">
        <f>IF(A684="","",TEXT(A684,"yyyy-mm"))</f>
        <v/>
      </c>
      <c r="L684" s="10">
        <f>IF(A684="","",WEEKNUM(A684))</f>
        <v/>
      </c>
      <c r="M684" s="10">
        <f>IF(A684="","",IF(COUNTIFS(A:A,A684,B:B,B684,F:F,F684)&gt;1,"⚠ Possible Duplicate",""))</f>
        <v/>
      </c>
      <c r="N684" s="10" t="n"/>
    </row>
    <row r="685">
      <c r="A685" s="10" t="n"/>
      <c r="B685" s="10" t="n"/>
      <c r="C685" s="10" t="n"/>
      <c r="D685" s="10" t="n"/>
      <c r="E685" s="10" t="n"/>
      <c r="F685" s="13" t="n"/>
      <c r="G685" s="10" t="n"/>
      <c r="H685" s="10" t="n"/>
      <c r="I685" s="10" t="n"/>
      <c r="J685" s="10" t="n"/>
      <c r="K685" s="10">
        <f>IF(A685="","",TEXT(A685,"yyyy-mm"))</f>
        <v/>
      </c>
      <c r="L685" s="10">
        <f>IF(A685="","",WEEKNUM(A685))</f>
        <v/>
      </c>
      <c r="M685" s="10">
        <f>IF(A685="","",IF(COUNTIFS(A:A,A685,B:B,B685,F:F,F685)&gt;1,"⚠ Possible Duplicate",""))</f>
        <v/>
      </c>
      <c r="N685" s="10" t="n"/>
    </row>
    <row r="686">
      <c r="A686" s="10" t="n"/>
      <c r="B686" s="10" t="n"/>
      <c r="C686" s="10" t="n"/>
      <c r="D686" s="10" t="n"/>
      <c r="E686" s="10" t="n"/>
      <c r="F686" s="13" t="n"/>
      <c r="G686" s="10" t="n"/>
      <c r="H686" s="10" t="n"/>
      <c r="I686" s="10" t="n"/>
      <c r="J686" s="10" t="n"/>
      <c r="K686" s="10">
        <f>IF(A686="","",TEXT(A686,"yyyy-mm"))</f>
        <v/>
      </c>
      <c r="L686" s="10">
        <f>IF(A686="","",WEEKNUM(A686))</f>
        <v/>
      </c>
      <c r="M686" s="10">
        <f>IF(A686="","",IF(COUNTIFS(A:A,A686,B:B,B686,F:F,F686)&gt;1,"⚠ Possible Duplicate",""))</f>
        <v/>
      </c>
      <c r="N686" s="10" t="n"/>
    </row>
    <row r="687">
      <c r="A687" s="10" t="n"/>
      <c r="B687" s="10" t="n"/>
      <c r="C687" s="10" t="n"/>
      <c r="D687" s="10" t="n"/>
      <c r="E687" s="10" t="n"/>
      <c r="F687" s="13" t="n"/>
      <c r="G687" s="10" t="n"/>
      <c r="H687" s="10" t="n"/>
      <c r="I687" s="10" t="n"/>
      <c r="J687" s="10" t="n"/>
      <c r="K687" s="10">
        <f>IF(A687="","",TEXT(A687,"yyyy-mm"))</f>
        <v/>
      </c>
      <c r="L687" s="10">
        <f>IF(A687="","",WEEKNUM(A687))</f>
        <v/>
      </c>
      <c r="M687" s="10">
        <f>IF(A687="","",IF(COUNTIFS(A:A,A687,B:B,B687,F:F,F687)&gt;1,"⚠ Possible Duplicate",""))</f>
        <v/>
      </c>
      <c r="N687" s="10" t="n"/>
    </row>
    <row r="688">
      <c r="A688" s="10" t="n"/>
      <c r="B688" s="10" t="n"/>
      <c r="C688" s="10" t="n"/>
      <c r="D688" s="10" t="n"/>
      <c r="E688" s="10" t="n"/>
      <c r="F688" s="13" t="n"/>
      <c r="G688" s="10" t="n"/>
      <c r="H688" s="10" t="n"/>
      <c r="I688" s="10" t="n"/>
      <c r="J688" s="10" t="n"/>
      <c r="K688" s="10">
        <f>IF(A688="","",TEXT(A688,"yyyy-mm"))</f>
        <v/>
      </c>
      <c r="L688" s="10">
        <f>IF(A688="","",WEEKNUM(A688))</f>
        <v/>
      </c>
      <c r="M688" s="10">
        <f>IF(A688="","",IF(COUNTIFS(A:A,A688,B:B,B688,F:F,F688)&gt;1,"⚠ Possible Duplicate",""))</f>
        <v/>
      </c>
      <c r="N688" s="10" t="n"/>
    </row>
    <row r="689">
      <c r="A689" s="10" t="n"/>
      <c r="B689" s="10" t="n"/>
      <c r="C689" s="10" t="n"/>
      <c r="D689" s="10" t="n"/>
      <c r="E689" s="10" t="n"/>
      <c r="F689" s="13" t="n"/>
      <c r="G689" s="10" t="n"/>
      <c r="H689" s="10" t="n"/>
      <c r="I689" s="10" t="n"/>
      <c r="J689" s="10" t="n"/>
      <c r="K689" s="10">
        <f>IF(A689="","",TEXT(A689,"yyyy-mm"))</f>
        <v/>
      </c>
      <c r="L689" s="10">
        <f>IF(A689="","",WEEKNUM(A689))</f>
        <v/>
      </c>
      <c r="M689" s="10">
        <f>IF(A689="","",IF(COUNTIFS(A:A,A689,B:B,B689,F:F,F689)&gt;1,"⚠ Possible Duplicate",""))</f>
        <v/>
      </c>
      <c r="N689" s="10" t="n"/>
    </row>
    <row r="690">
      <c r="A690" s="10" t="n"/>
      <c r="B690" s="10" t="n"/>
      <c r="C690" s="10" t="n"/>
      <c r="D690" s="10" t="n"/>
      <c r="E690" s="10" t="n"/>
      <c r="F690" s="13" t="n"/>
      <c r="G690" s="10" t="n"/>
      <c r="H690" s="10" t="n"/>
      <c r="I690" s="10" t="n"/>
      <c r="J690" s="10" t="n"/>
      <c r="K690" s="10">
        <f>IF(A690="","",TEXT(A690,"yyyy-mm"))</f>
        <v/>
      </c>
      <c r="L690" s="10">
        <f>IF(A690="","",WEEKNUM(A690))</f>
        <v/>
      </c>
      <c r="M690" s="10">
        <f>IF(A690="","",IF(COUNTIFS(A:A,A690,B:B,B690,F:F,F690)&gt;1,"⚠ Possible Duplicate",""))</f>
        <v/>
      </c>
      <c r="N690" s="10" t="n"/>
    </row>
    <row r="691">
      <c r="A691" s="10" t="n"/>
      <c r="B691" s="10" t="n"/>
      <c r="C691" s="10" t="n"/>
      <c r="D691" s="10" t="n"/>
      <c r="E691" s="10" t="n"/>
      <c r="F691" s="13" t="n"/>
      <c r="G691" s="10" t="n"/>
      <c r="H691" s="10" t="n"/>
      <c r="I691" s="10" t="n"/>
      <c r="J691" s="10" t="n"/>
      <c r="K691" s="10">
        <f>IF(A691="","",TEXT(A691,"yyyy-mm"))</f>
        <v/>
      </c>
      <c r="L691" s="10">
        <f>IF(A691="","",WEEKNUM(A691))</f>
        <v/>
      </c>
      <c r="M691" s="10">
        <f>IF(A691="","",IF(COUNTIFS(A:A,A691,B:B,B691,F:F,F691)&gt;1,"⚠ Possible Duplicate",""))</f>
        <v/>
      </c>
      <c r="N691" s="10" t="n"/>
    </row>
    <row r="692">
      <c r="A692" s="10" t="n"/>
      <c r="B692" s="10" t="n"/>
      <c r="C692" s="10" t="n"/>
      <c r="D692" s="10" t="n"/>
      <c r="E692" s="10" t="n"/>
      <c r="F692" s="13" t="n"/>
      <c r="G692" s="10" t="n"/>
      <c r="H692" s="10" t="n"/>
      <c r="I692" s="10" t="n"/>
      <c r="J692" s="10" t="n"/>
      <c r="K692" s="10">
        <f>IF(A692="","",TEXT(A692,"yyyy-mm"))</f>
        <v/>
      </c>
      <c r="L692" s="10">
        <f>IF(A692="","",WEEKNUM(A692))</f>
        <v/>
      </c>
      <c r="M692" s="10">
        <f>IF(A692="","",IF(COUNTIFS(A:A,A692,B:B,B692,F:F,F692)&gt;1,"⚠ Possible Duplicate",""))</f>
        <v/>
      </c>
      <c r="N692" s="10" t="n"/>
    </row>
    <row r="693">
      <c r="A693" s="10" t="n"/>
      <c r="B693" s="10" t="n"/>
      <c r="C693" s="10" t="n"/>
      <c r="D693" s="10" t="n"/>
      <c r="E693" s="10" t="n"/>
      <c r="F693" s="13" t="n"/>
      <c r="G693" s="10" t="n"/>
      <c r="H693" s="10" t="n"/>
      <c r="I693" s="10" t="n"/>
      <c r="J693" s="10" t="n"/>
      <c r="K693" s="10">
        <f>IF(A693="","",TEXT(A693,"yyyy-mm"))</f>
        <v/>
      </c>
      <c r="L693" s="10">
        <f>IF(A693="","",WEEKNUM(A693))</f>
        <v/>
      </c>
      <c r="M693" s="10">
        <f>IF(A693="","",IF(COUNTIFS(A:A,A693,B:B,B693,F:F,F693)&gt;1,"⚠ Possible Duplicate",""))</f>
        <v/>
      </c>
      <c r="N693" s="10" t="n"/>
    </row>
    <row r="694">
      <c r="A694" s="10" t="n"/>
      <c r="B694" s="10" t="n"/>
      <c r="C694" s="10" t="n"/>
      <c r="D694" s="10" t="n"/>
      <c r="E694" s="10" t="n"/>
      <c r="F694" s="13" t="n"/>
      <c r="G694" s="10" t="n"/>
      <c r="H694" s="10" t="n"/>
      <c r="I694" s="10" t="n"/>
      <c r="J694" s="10" t="n"/>
      <c r="K694" s="10">
        <f>IF(A694="","",TEXT(A694,"yyyy-mm"))</f>
        <v/>
      </c>
      <c r="L694" s="10">
        <f>IF(A694="","",WEEKNUM(A694))</f>
        <v/>
      </c>
      <c r="M694" s="10">
        <f>IF(A694="","",IF(COUNTIFS(A:A,A694,B:B,B694,F:F,F694)&gt;1,"⚠ Possible Duplicate",""))</f>
        <v/>
      </c>
      <c r="N694" s="10" t="n"/>
    </row>
    <row r="695">
      <c r="A695" s="10" t="n"/>
      <c r="B695" s="10" t="n"/>
      <c r="C695" s="10" t="n"/>
      <c r="D695" s="10" t="n"/>
      <c r="E695" s="10" t="n"/>
      <c r="F695" s="13" t="n"/>
      <c r="G695" s="10" t="n"/>
      <c r="H695" s="10" t="n"/>
      <c r="I695" s="10" t="n"/>
      <c r="J695" s="10" t="n"/>
      <c r="K695" s="10">
        <f>IF(A695="","",TEXT(A695,"yyyy-mm"))</f>
        <v/>
      </c>
      <c r="L695" s="10">
        <f>IF(A695="","",WEEKNUM(A695))</f>
        <v/>
      </c>
      <c r="M695" s="10">
        <f>IF(A695="","",IF(COUNTIFS(A:A,A695,B:B,B695,F:F,F695)&gt;1,"⚠ Possible Duplicate",""))</f>
        <v/>
      </c>
      <c r="N695" s="10" t="n"/>
    </row>
    <row r="696">
      <c r="A696" s="10" t="n"/>
      <c r="B696" s="10" t="n"/>
      <c r="C696" s="10" t="n"/>
      <c r="D696" s="10" t="n"/>
      <c r="E696" s="10" t="n"/>
      <c r="F696" s="13" t="n"/>
      <c r="G696" s="10" t="n"/>
      <c r="H696" s="10" t="n"/>
      <c r="I696" s="10" t="n"/>
      <c r="J696" s="10" t="n"/>
      <c r="K696" s="10">
        <f>IF(A696="","",TEXT(A696,"yyyy-mm"))</f>
        <v/>
      </c>
      <c r="L696" s="10">
        <f>IF(A696="","",WEEKNUM(A696))</f>
        <v/>
      </c>
      <c r="M696" s="10">
        <f>IF(A696="","",IF(COUNTIFS(A:A,A696,B:B,B696,F:F,F696)&gt;1,"⚠ Possible Duplicate",""))</f>
        <v/>
      </c>
      <c r="N696" s="10" t="n"/>
    </row>
    <row r="697">
      <c r="A697" s="10" t="n"/>
      <c r="B697" s="10" t="n"/>
      <c r="C697" s="10" t="n"/>
      <c r="D697" s="10" t="n"/>
      <c r="E697" s="10" t="n"/>
      <c r="F697" s="13" t="n"/>
      <c r="G697" s="10" t="n"/>
      <c r="H697" s="10" t="n"/>
      <c r="I697" s="10" t="n"/>
      <c r="J697" s="10" t="n"/>
      <c r="K697" s="10">
        <f>IF(A697="","",TEXT(A697,"yyyy-mm"))</f>
        <v/>
      </c>
      <c r="L697" s="10">
        <f>IF(A697="","",WEEKNUM(A697))</f>
        <v/>
      </c>
      <c r="M697" s="10">
        <f>IF(A697="","",IF(COUNTIFS(A:A,A697,B:B,B697,F:F,F697)&gt;1,"⚠ Possible Duplicate",""))</f>
        <v/>
      </c>
      <c r="N697" s="10" t="n"/>
    </row>
    <row r="698">
      <c r="A698" s="10" t="n"/>
      <c r="B698" s="10" t="n"/>
      <c r="C698" s="10" t="n"/>
      <c r="D698" s="10" t="n"/>
      <c r="E698" s="10" t="n"/>
      <c r="F698" s="13" t="n"/>
      <c r="G698" s="10" t="n"/>
      <c r="H698" s="10" t="n"/>
      <c r="I698" s="10" t="n"/>
      <c r="J698" s="10" t="n"/>
      <c r="K698" s="10">
        <f>IF(A698="","",TEXT(A698,"yyyy-mm"))</f>
        <v/>
      </c>
      <c r="L698" s="10">
        <f>IF(A698="","",WEEKNUM(A698))</f>
        <v/>
      </c>
      <c r="M698" s="10">
        <f>IF(A698="","",IF(COUNTIFS(A:A,A698,B:B,B698,F:F,F698)&gt;1,"⚠ Possible Duplicate",""))</f>
        <v/>
      </c>
      <c r="N698" s="10" t="n"/>
    </row>
    <row r="699">
      <c r="A699" s="10" t="n"/>
      <c r="B699" s="10" t="n"/>
      <c r="C699" s="10" t="n"/>
      <c r="D699" s="10" t="n"/>
      <c r="E699" s="10" t="n"/>
      <c r="F699" s="13" t="n"/>
      <c r="G699" s="10" t="n"/>
      <c r="H699" s="10" t="n"/>
      <c r="I699" s="10" t="n"/>
      <c r="J699" s="10" t="n"/>
      <c r="K699" s="10">
        <f>IF(A699="","",TEXT(A699,"yyyy-mm"))</f>
        <v/>
      </c>
      <c r="L699" s="10">
        <f>IF(A699="","",WEEKNUM(A699))</f>
        <v/>
      </c>
      <c r="M699" s="10">
        <f>IF(A699="","",IF(COUNTIFS(A:A,A699,B:B,B699,F:F,F699)&gt;1,"⚠ Possible Duplicate",""))</f>
        <v/>
      </c>
      <c r="N699" s="10" t="n"/>
    </row>
    <row r="700">
      <c r="A700" s="10" t="n"/>
      <c r="B700" s="10" t="n"/>
      <c r="C700" s="10" t="n"/>
      <c r="D700" s="10" t="n"/>
      <c r="E700" s="10" t="n"/>
      <c r="F700" s="13" t="n"/>
      <c r="G700" s="10" t="n"/>
      <c r="H700" s="10" t="n"/>
      <c r="I700" s="10" t="n"/>
      <c r="J700" s="10" t="n"/>
      <c r="K700" s="10">
        <f>IF(A700="","",TEXT(A700,"yyyy-mm"))</f>
        <v/>
      </c>
      <c r="L700" s="10">
        <f>IF(A700="","",WEEKNUM(A700))</f>
        <v/>
      </c>
      <c r="M700" s="10">
        <f>IF(A700="","",IF(COUNTIFS(A:A,A700,B:B,B700,F:F,F700)&gt;1,"⚠ Possible Duplicate",""))</f>
        <v/>
      </c>
      <c r="N700" s="10" t="n"/>
    </row>
    <row r="701">
      <c r="A701" s="10" t="n"/>
      <c r="B701" s="10" t="n"/>
      <c r="C701" s="10" t="n"/>
      <c r="D701" s="10" t="n"/>
      <c r="E701" s="10" t="n"/>
      <c r="F701" s="13" t="n"/>
      <c r="G701" s="10" t="n"/>
      <c r="H701" s="10" t="n"/>
      <c r="I701" s="10" t="n"/>
      <c r="J701" s="10" t="n"/>
      <c r="K701" s="10">
        <f>IF(A701="","",TEXT(A701,"yyyy-mm"))</f>
        <v/>
      </c>
      <c r="L701" s="10">
        <f>IF(A701="","",WEEKNUM(A701))</f>
        <v/>
      </c>
      <c r="M701" s="10">
        <f>IF(A701="","",IF(COUNTIFS(A:A,A701,B:B,B701,F:F,F701)&gt;1,"⚠ Possible Duplicate",""))</f>
        <v/>
      </c>
      <c r="N701" s="10" t="n"/>
    </row>
    <row r="702">
      <c r="A702" s="10" t="n"/>
      <c r="B702" s="10" t="n"/>
      <c r="C702" s="10" t="n"/>
      <c r="D702" s="10" t="n"/>
      <c r="E702" s="10" t="n"/>
      <c r="F702" s="13" t="n"/>
      <c r="G702" s="10" t="n"/>
      <c r="H702" s="10" t="n"/>
      <c r="I702" s="10" t="n"/>
      <c r="J702" s="10" t="n"/>
      <c r="K702" s="10">
        <f>IF(A702="","",TEXT(A702,"yyyy-mm"))</f>
        <v/>
      </c>
      <c r="L702" s="10">
        <f>IF(A702="","",WEEKNUM(A702))</f>
        <v/>
      </c>
      <c r="M702" s="10">
        <f>IF(A702="","",IF(COUNTIFS(A:A,A702,B:B,B702,F:F,F702)&gt;1,"⚠ Possible Duplicate",""))</f>
        <v/>
      </c>
      <c r="N702" s="10" t="n"/>
    </row>
    <row r="703">
      <c r="A703" s="10" t="n"/>
      <c r="B703" s="10" t="n"/>
      <c r="C703" s="10" t="n"/>
      <c r="D703" s="10" t="n"/>
      <c r="E703" s="10" t="n"/>
      <c r="F703" s="13" t="n"/>
      <c r="G703" s="10" t="n"/>
      <c r="H703" s="10" t="n"/>
      <c r="I703" s="10" t="n"/>
      <c r="J703" s="10" t="n"/>
      <c r="K703" s="10">
        <f>IF(A703="","",TEXT(A703,"yyyy-mm"))</f>
        <v/>
      </c>
      <c r="L703" s="10">
        <f>IF(A703="","",WEEKNUM(A703))</f>
        <v/>
      </c>
      <c r="M703" s="10">
        <f>IF(A703="","",IF(COUNTIFS(A:A,A703,B:B,B703,F:F,F703)&gt;1,"⚠ Possible Duplicate",""))</f>
        <v/>
      </c>
      <c r="N703" s="10" t="n"/>
    </row>
    <row r="704">
      <c r="A704" s="10" t="n"/>
      <c r="B704" s="10" t="n"/>
      <c r="C704" s="10" t="n"/>
      <c r="D704" s="10" t="n"/>
      <c r="E704" s="10" t="n"/>
      <c r="F704" s="13" t="n"/>
      <c r="G704" s="10" t="n"/>
      <c r="H704" s="10" t="n"/>
      <c r="I704" s="10" t="n"/>
      <c r="J704" s="10" t="n"/>
      <c r="K704" s="10">
        <f>IF(A704="","",TEXT(A704,"yyyy-mm"))</f>
        <v/>
      </c>
      <c r="L704" s="10">
        <f>IF(A704="","",WEEKNUM(A704))</f>
        <v/>
      </c>
      <c r="M704" s="10">
        <f>IF(A704="","",IF(COUNTIFS(A:A,A704,B:B,B704,F:F,F704)&gt;1,"⚠ Possible Duplicate",""))</f>
        <v/>
      </c>
      <c r="N704" s="10" t="n"/>
    </row>
    <row r="705">
      <c r="A705" s="10" t="n"/>
      <c r="B705" s="10" t="n"/>
      <c r="C705" s="10" t="n"/>
      <c r="D705" s="10" t="n"/>
      <c r="E705" s="10" t="n"/>
      <c r="F705" s="13" t="n"/>
      <c r="G705" s="10" t="n"/>
      <c r="H705" s="10" t="n"/>
      <c r="I705" s="10" t="n"/>
      <c r="J705" s="10" t="n"/>
      <c r="K705" s="10">
        <f>IF(A705="","",TEXT(A705,"yyyy-mm"))</f>
        <v/>
      </c>
      <c r="L705" s="10">
        <f>IF(A705="","",WEEKNUM(A705))</f>
        <v/>
      </c>
      <c r="M705" s="10">
        <f>IF(A705="","",IF(COUNTIFS(A:A,A705,B:B,B705,F:F,F705)&gt;1,"⚠ Possible Duplicate",""))</f>
        <v/>
      </c>
      <c r="N705" s="10" t="n"/>
    </row>
    <row r="706">
      <c r="A706" s="10" t="n"/>
      <c r="B706" s="10" t="n"/>
      <c r="C706" s="10" t="n"/>
      <c r="D706" s="10" t="n"/>
      <c r="E706" s="10" t="n"/>
      <c r="F706" s="13" t="n"/>
      <c r="G706" s="10" t="n"/>
      <c r="H706" s="10" t="n"/>
      <c r="I706" s="10" t="n"/>
      <c r="J706" s="10" t="n"/>
      <c r="K706" s="10">
        <f>IF(A706="","",TEXT(A706,"yyyy-mm"))</f>
        <v/>
      </c>
      <c r="L706" s="10">
        <f>IF(A706="","",WEEKNUM(A706))</f>
        <v/>
      </c>
      <c r="M706" s="10">
        <f>IF(A706="","",IF(COUNTIFS(A:A,A706,B:B,B706,F:F,F706)&gt;1,"⚠ Possible Duplicate",""))</f>
        <v/>
      </c>
      <c r="N706" s="10" t="n"/>
    </row>
    <row r="707">
      <c r="A707" s="10" t="n"/>
      <c r="B707" s="10" t="n"/>
      <c r="C707" s="10" t="n"/>
      <c r="D707" s="10" t="n"/>
      <c r="E707" s="10" t="n"/>
      <c r="F707" s="13" t="n"/>
      <c r="G707" s="10" t="n"/>
      <c r="H707" s="10" t="n"/>
      <c r="I707" s="10" t="n"/>
      <c r="J707" s="10" t="n"/>
      <c r="K707" s="10">
        <f>IF(A707="","",TEXT(A707,"yyyy-mm"))</f>
        <v/>
      </c>
      <c r="L707" s="10">
        <f>IF(A707="","",WEEKNUM(A707))</f>
        <v/>
      </c>
      <c r="M707" s="10">
        <f>IF(A707="","",IF(COUNTIFS(A:A,A707,B:B,B707,F:F,F707)&gt;1,"⚠ Possible Duplicate",""))</f>
        <v/>
      </c>
      <c r="N707" s="10" t="n"/>
    </row>
    <row r="708">
      <c r="A708" s="10" t="n"/>
      <c r="B708" s="10" t="n"/>
      <c r="C708" s="10" t="n"/>
      <c r="D708" s="10" t="n"/>
      <c r="E708" s="10" t="n"/>
      <c r="F708" s="13" t="n"/>
      <c r="G708" s="10" t="n"/>
      <c r="H708" s="10" t="n"/>
      <c r="I708" s="10" t="n"/>
      <c r="J708" s="10" t="n"/>
      <c r="K708" s="10">
        <f>IF(A708="","",TEXT(A708,"yyyy-mm"))</f>
        <v/>
      </c>
      <c r="L708" s="10">
        <f>IF(A708="","",WEEKNUM(A708))</f>
        <v/>
      </c>
      <c r="M708" s="10">
        <f>IF(A708="","",IF(COUNTIFS(A:A,A708,B:B,B708,F:F,F708)&gt;1,"⚠ Possible Duplicate",""))</f>
        <v/>
      </c>
      <c r="N708" s="10" t="n"/>
    </row>
    <row r="709">
      <c r="A709" s="10" t="n"/>
      <c r="B709" s="10" t="n"/>
      <c r="C709" s="10" t="n"/>
      <c r="D709" s="10" t="n"/>
      <c r="E709" s="10" t="n"/>
      <c r="F709" s="13" t="n"/>
      <c r="G709" s="10" t="n"/>
      <c r="H709" s="10" t="n"/>
      <c r="I709" s="10" t="n"/>
      <c r="J709" s="10" t="n"/>
      <c r="K709" s="10">
        <f>IF(A709="","",TEXT(A709,"yyyy-mm"))</f>
        <v/>
      </c>
      <c r="L709" s="10">
        <f>IF(A709="","",WEEKNUM(A709))</f>
        <v/>
      </c>
      <c r="M709" s="10">
        <f>IF(A709="","",IF(COUNTIFS(A:A,A709,B:B,B709,F:F,F709)&gt;1,"⚠ Possible Duplicate",""))</f>
        <v/>
      </c>
      <c r="N709" s="10" t="n"/>
    </row>
    <row r="710">
      <c r="A710" s="10" t="n"/>
      <c r="B710" s="10" t="n"/>
      <c r="C710" s="10" t="n"/>
      <c r="D710" s="10" t="n"/>
      <c r="E710" s="10" t="n"/>
      <c r="F710" s="13" t="n"/>
      <c r="G710" s="10" t="n"/>
      <c r="H710" s="10" t="n"/>
      <c r="I710" s="10" t="n"/>
      <c r="J710" s="10" t="n"/>
      <c r="K710" s="10">
        <f>IF(A710="","",TEXT(A710,"yyyy-mm"))</f>
        <v/>
      </c>
      <c r="L710" s="10">
        <f>IF(A710="","",WEEKNUM(A710))</f>
        <v/>
      </c>
      <c r="M710" s="10">
        <f>IF(A710="","",IF(COUNTIFS(A:A,A710,B:B,B710,F:F,F710)&gt;1,"⚠ Possible Duplicate",""))</f>
        <v/>
      </c>
      <c r="N710" s="10" t="n"/>
    </row>
    <row r="711">
      <c r="A711" s="10" t="n"/>
      <c r="B711" s="10" t="n"/>
      <c r="C711" s="10" t="n"/>
      <c r="D711" s="10" t="n"/>
      <c r="E711" s="10" t="n"/>
      <c r="F711" s="13" t="n"/>
      <c r="G711" s="10" t="n"/>
      <c r="H711" s="10" t="n"/>
      <c r="I711" s="10" t="n"/>
      <c r="J711" s="10" t="n"/>
      <c r="K711" s="10">
        <f>IF(A711="","",TEXT(A711,"yyyy-mm"))</f>
        <v/>
      </c>
      <c r="L711" s="10">
        <f>IF(A711="","",WEEKNUM(A711))</f>
        <v/>
      </c>
      <c r="M711" s="10">
        <f>IF(A711="","",IF(COUNTIFS(A:A,A711,B:B,B711,F:F,F711)&gt;1,"⚠ Possible Duplicate",""))</f>
        <v/>
      </c>
      <c r="N711" s="10" t="n"/>
    </row>
    <row r="712">
      <c r="A712" s="10" t="n"/>
      <c r="B712" s="10" t="n"/>
      <c r="C712" s="10" t="n"/>
      <c r="D712" s="10" t="n"/>
      <c r="E712" s="10" t="n"/>
      <c r="F712" s="13" t="n"/>
      <c r="G712" s="10" t="n"/>
      <c r="H712" s="10" t="n"/>
      <c r="I712" s="10" t="n"/>
      <c r="J712" s="10" t="n"/>
      <c r="K712" s="10">
        <f>IF(A712="","",TEXT(A712,"yyyy-mm"))</f>
        <v/>
      </c>
      <c r="L712" s="10">
        <f>IF(A712="","",WEEKNUM(A712))</f>
        <v/>
      </c>
      <c r="M712" s="10">
        <f>IF(A712="","",IF(COUNTIFS(A:A,A712,B:B,B712,F:F,F712)&gt;1,"⚠ Possible Duplicate",""))</f>
        <v/>
      </c>
      <c r="N712" s="10" t="n"/>
    </row>
    <row r="713">
      <c r="A713" s="10" t="n"/>
      <c r="B713" s="10" t="n"/>
      <c r="C713" s="10" t="n"/>
      <c r="D713" s="10" t="n"/>
      <c r="E713" s="10" t="n"/>
      <c r="F713" s="13" t="n"/>
      <c r="G713" s="10" t="n"/>
      <c r="H713" s="10" t="n"/>
      <c r="I713" s="10" t="n"/>
      <c r="J713" s="10" t="n"/>
      <c r="K713" s="10">
        <f>IF(A713="","",TEXT(A713,"yyyy-mm"))</f>
        <v/>
      </c>
      <c r="L713" s="10">
        <f>IF(A713="","",WEEKNUM(A713))</f>
        <v/>
      </c>
      <c r="M713" s="10">
        <f>IF(A713="","",IF(COUNTIFS(A:A,A713,B:B,B713,F:F,F713)&gt;1,"⚠ Possible Duplicate",""))</f>
        <v/>
      </c>
      <c r="N713" s="10" t="n"/>
    </row>
    <row r="714">
      <c r="A714" s="10" t="n"/>
      <c r="B714" s="10" t="n"/>
      <c r="C714" s="10" t="n"/>
      <c r="D714" s="10" t="n"/>
      <c r="E714" s="10" t="n"/>
      <c r="F714" s="13" t="n"/>
      <c r="G714" s="10" t="n"/>
      <c r="H714" s="10" t="n"/>
      <c r="I714" s="10" t="n"/>
      <c r="J714" s="10" t="n"/>
      <c r="K714" s="10">
        <f>IF(A714="","",TEXT(A714,"yyyy-mm"))</f>
        <v/>
      </c>
      <c r="L714" s="10">
        <f>IF(A714="","",WEEKNUM(A714))</f>
        <v/>
      </c>
      <c r="M714" s="10">
        <f>IF(A714="","",IF(COUNTIFS(A:A,A714,B:B,B714,F:F,F714)&gt;1,"⚠ Possible Duplicate",""))</f>
        <v/>
      </c>
      <c r="N714" s="10" t="n"/>
    </row>
    <row r="715">
      <c r="A715" s="10" t="n"/>
      <c r="B715" s="10" t="n"/>
      <c r="C715" s="10" t="n"/>
      <c r="D715" s="10" t="n"/>
      <c r="E715" s="10" t="n"/>
      <c r="F715" s="13" t="n"/>
      <c r="G715" s="10" t="n"/>
      <c r="H715" s="10" t="n"/>
      <c r="I715" s="10" t="n"/>
      <c r="J715" s="10" t="n"/>
      <c r="K715" s="10">
        <f>IF(A715="","",TEXT(A715,"yyyy-mm"))</f>
        <v/>
      </c>
      <c r="L715" s="10">
        <f>IF(A715="","",WEEKNUM(A715))</f>
        <v/>
      </c>
      <c r="M715" s="10">
        <f>IF(A715="","",IF(COUNTIFS(A:A,A715,B:B,B715,F:F,F715)&gt;1,"⚠ Possible Duplicate",""))</f>
        <v/>
      </c>
      <c r="N715" s="10" t="n"/>
    </row>
    <row r="716">
      <c r="A716" s="10" t="n"/>
      <c r="B716" s="10" t="n"/>
      <c r="C716" s="10" t="n"/>
      <c r="D716" s="10" t="n"/>
      <c r="E716" s="10" t="n"/>
      <c r="F716" s="13" t="n"/>
      <c r="G716" s="10" t="n"/>
      <c r="H716" s="10" t="n"/>
      <c r="I716" s="10" t="n"/>
      <c r="J716" s="10" t="n"/>
      <c r="K716" s="10">
        <f>IF(A716="","",TEXT(A716,"yyyy-mm"))</f>
        <v/>
      </c>
      <c r="L716" s="10">
        <f>IF(A716="","",WEEKNUM(A716))</f>
        <v/>
      </c>
      <c r="M716" s="10">
        <f>IF(A716="","",IF(COUNTIFS(A:A,A716,B:B,B716,F:F,F716)&gt;1,"⚠ Possible Duplicate",""))</f>
        <v/>
      </c>
      <c r="N716" s="10" t="n"/>
    </row>
    <row r="717">
      <c r="A717" s="10" t="n"/>
      <c r="B717" s="10" t="n"/>
      <c r="C717" s="10" t="n"/>
      <c r="D717" s="10" t="n"/>
      <c r="E717" s="10" t="n"/>
      <c r="F717" s="13" t="n"/>
      <c r="G717" s="10" t="n"/>
      <c r="H717" s="10" t="n"/>
      <c r="I717" s="10" t="n"/>
      <c r="J717" s="10" t="n"/>
      <c r="K717" s="10">
        <f>IF(A717="","",TEXT(A717,"yyyy-mm"))</f>
        <v/>
      </c>
      <c r="L717" s="10">
        <f>IF(A717="","",WEEKNUM(A717))</f>
        <v/>
      </c>
      <c r="M717" s="10">
        <f>IF(A717="","",IF(COUNTIFS(A:A,A717,B:B,B717,F:F,F717)&gt;1,"⚠ Possible Duplicate",""))</f>
        <v/>
      </c>
      <c r="N717" s="10" t="n"/>
    </row>
    <row r="718">
      <c r="A718" s="10" t="n"/>
      <c r="B718" s="10" t="n"/>
      <c r="C718" s="10" t="n"/>
      <c r="D718" s="10" t="n"/>
      <c r="E718" s="10" t="n"/>
      <c r="F718" s="13" t="n"/>
      <c r="G718" s="10" t="n"/>
      <c r="H718" s="10" t="n"/>
      <c r="I718" s="10" t="n"/>
      <c r="J718" s="10" t="n"/>
      <c r="K718" s="10">
        <f>IF(A718="","",TEXT(A718,"yyyy-mm"))</f>
        <v/>
      </c>
      <c r="L718" s="10">
        <f>IF(A718="","",WEEKNUM(A718))</f>
        <v/>
      </c>
      <c r="M718" s="10">
        <f>IF(A718="","",IF(COUNTIFS(A:A,A718,B:B,B718,F:F,F718)&gt;1,"⚠ Possible Duplicate",""))</f>
        <v/>
      </c>
      <c r="N718" s="10" t="n"/>
    </row>
    <row r="719">
      <c r="A719" s="10" t="n"/>
      <c r="B719" s="10" t="n"/>
      <c r="C719" s="10" t="n"/>
      <c r="D719" s="10" t="n"/>
      <c r="E719" s="10" t="n"/>
      <c r="F719" s="13" t="n"/>
      <c r="G719" s="10" t="n"/>
      <c r="H719" s="10" t="n"/>
      <c r="I719" s="10" t="n"/>
      <c r="J719" s="10" t="n"/>
      <c r="K719" s="10">
        <f>IF(A719="","",TEXT(A719,"yyyy-mm"))</f>
        <v/>
      </c>
      <c r="L719" s="10">
        <f>IF(A719="","",WEEKNUM(A719))</f>
        <v/>
      </c>
      <c r="M719" s="10">
        <f>IF(A719="","",IF(COUNTIFS(A:A,A719,B:B,B719,F:F,F719)&gt;1,"⚠ Possible Duplicate",""))</f>
        <v/>
      </c>
      <c r="N719" s="10" t="n"/>
    </row>
    <row r="720">
      <c r="A720" s="10" t="n"/>
      <c r="B720" s="10" t="n"/>
      <c r="C720" s="10" t="n"/>
      <c r="D720" s="10" t="n"/>
      <c r="E720" s="10" t="n"/>
      <c r="F720" s="13" t="n"/>
      <c r="G720" s="10" t="n"/>
      <c r="H720" s="10" t="n"/>
      <c r="I720" s="10" t="n"/>
      <c r="J720" s="10" t="n"/>
      <c r="K720" s="10">
        <f>IF(A720="","",TEXT(A720,"yyyy-mm"))</f>
        <v/>
      </c>
      <c r="L720" s="10">
        <f>IF(A720="","",WEEKNUM(A720))</f>
        <v/>
      </c>
      <c r="M720" s="10">
        <f>IF(A720="","",IF(COUNTIFS(A:A,A720,B:B,B720,F:F,F720)&gt;1,"⚠ Possible Duplicate",""))</f>
        <v/>
      </c>
      <c r="N720" s="10" t="n"/>
    </row>
    <row r="721">
      <c r="A721" s="10" t="n"/>
      <c r="B721" s="10" t="n"/>
      <c r="C721" s="10" t="n"/>
      <c r="D721" s="10" t="n"/>
      <c r="E721" s="10" t="n"/>
      <c r="F721" s="13" t="n"/>
      <c r="G721" s="10" t="n"/>
      <c r="H721" s="10" t="n"/>
      <c r="I721" s="10" t="n"/>
      <c r="J721" s="10" t="n"/>
      <c r="K721" s="10">
        <f>IF(A721="","",TEXT(A721,"yyyy-mm"))</f>
        <v/>
      </c>
      <c r="L721" s="10">
        <f>IF(A721="","",WEEKNUM(A721))</f>
        <v/>
      </c>
      <c r="M721" s="10">
        <f>IF(A721="","",IF(COUNTIFS(A:A,A721,B:B,B721,F:F,F721)&gt;1,"⚠ Possible Duplicate",""))</f>
        <v/>
      </c>
      <c r="N721" s="10" t="n"/>
    </row>
    <row r="722">
      <c r="A722" s="10" t="n"/>
      <c r="B722" s="10" t="n"/>
      <c r="C722" s="10" t="n"/>
      <c r="D722" s="10" t="n"/>
      <c r="E722" s="10" t="n"/>
      <c r="F722" s="13" t="n"/>
      <c r="G722" s="10" t="n"/>
      <c r="H722" s="10" t="n"/>
      <c r="I722" s="10" t="n"/>
      <c r="J722" s="10" t="n"/>
      <c r="K722" s="10">
        <f>IF(A722="","",TEXT(A722,"yyyy-mm"))</f>
        <v/>
      </c>
      <c r="L722" s="10">
        <f>IF(A722="","",WEEKNUM(A722))</f>
        <v/>
      </c>
      <c r="M722" s="10">
        <f>IF(A722="","",IF(COUNTIFS(A:A,A722,B:B,B722,F:F,F722)&gt;1,"⚠ Possible Duplicate",""))</f>
        <v/>
      </c>
      <c r="N722" s="10" t="n"/>
    </row>
    <row r="723">
      <c r="A723" s="10" t="n"/>
      <c r="B723" s="10" t="n"/>
      <c r="C723" s="10" t="n"/>
      <c r="D723" s="10" t="n"/>
      <c r="E723" s="10" t="n"/>
      <c r="F723" s="13" t="n"/>
      <c r="G723" s="10" t="n"/>
      <c r="H723" s="10" t="n"/>
      <c r="I723" s="10" t="n"/>
      <c r="J723" s="10" t="n"/>
      <c r="K723" s="10">
        <f>IF(A723="","",TEXT(A723,"yyyy-mm"))</f>
        <v/>
      </c>
      <c r="L723" s="10">
        <f>IF(A723="","",WEEKNUM(A723))</f>
        <v/>
      </c>
      <c r="M723" s="10">
        <f>IF(A723="","",IF(COUNTIFS(A:A,A723,B:B,B723,F:F,F723)&gt;1,"⚠ Possible Duplicate",""))</f>
        <v/>
      </c>
      <c r="N723" s="10" t="n"/>
    </row>
    <row r="724">
      <c r="A724" s="10" t="n"/>
      <c r="B724" s="10" t="n"/>
      <c r="C724" s="10" t="n"/>
      <c r="D724" s="10" t="n"/>
      <c r="E724" s="10" t="n"/>
      <c r="F724" s="13" t="n"/>
      <c r="G724" s="10" t="n"/>
      <c r="H724" s="10" t="n"/>
      <c r="I724" s="10" t="n"/>
      <c r="J724" s="10" t="n"/>
      <c r="K724" s="10">
        <f>IF(A724="","",TEXT(A724,"yyyy-mm"))</f>
        <v/>
      </c>
      <c r="L724" s="10">
        <f>IF(A724="","",WEEKNUM(A724))</f>
        <v/>
      </c>
      <c r="M724" s="10">
        <f>IF(A724="","",IF(COUNTIFS(A:A,A724,B:B,B724,F:F,F724)&gt;1,"⚠ Possible Duplicate",""))</f>
        <v/>
      </c>
      <c r="N724" s="10" t="n"/>
    </row>
    <row r="725">
      <c r="A725" s="10" t="n"/>
      <c r="B725" s="10" t="n"/>
      <c r="C725" s="10" t="n"/>
      <c r="D725" s="10" t="n"/>
      <c r="E725" s="10" t="n"/>
      <c r="F725" s="13" t="n"/>
      <c r="G725" s="10" t="n"/>
      <c r="H725" s="10" t="n"/>
      <c r="I725" s="10" t="n"/>
      <c r="J725" s="10" t="n"/>
      <c r="K725" s="10">
        <f>IF(A725="","",TEXT(A725,"yyyy-mm"))</f>
        <v/>
      </c>
      <c r="L725" s="10">
        <f>IF(A725="","",WEEKNUM(A725))</f>
        <v/>
      </c>
      <c r="M725" s="10">
        <f>IF(A725="","",IF(COUNTIFS(A:A,A725,B:B,B725,F:F,F725)&gt;1,"⚠ Possible Duplicate",""))</f>
        <v/>
      </c>
      <c r="N725" s="10" t="n"/>
    </row>
    <row r="726">
      <c r="A726" s="10" t="n"/>
      <c r="B726" s="10" t="n"/>
      <c r="C726" s="10" t="n"/>
      <c r="D726" s="10" t="n"/>
      <c r="E726" s="10" t="n"/>
      <c r="F726" s="13" t="n"/>
      <c r="G726" s="10" t="n"/>
      <c r="H726" s="10" t="n"/>
      <c r="I726" s="10" t="n"/>
      <c r="J726" s="10" t="n"/>
      <c r="K726" s="10">
        <f>IF(A726="","",TEXT(A726,"yyyy-mm"))</f>
        <v/>
      </c>
      <c r="L726" s="10">
        <f>IF(A726="","",WEEKNUM(A726))</f>
        <v/>
      </c>
      <c r="M726" s="10">
        <f>IF(A726="","",IF(COUNTIFS(A:A,A726,B:B,B726,F:F,F726)&gt;1,"⚠ Possible Duplicate",""))</f>
        <v/>
      </c>
      <c r="N726" s="10" t="n"/>
    </row>
    <row r="727">
      <c r="A727" s="10" t="n"/>
      <c r="B727" s="10" t="n"/>
      <c r="C727" s="10" t="n"/>
      <c r="D727" s="10" t="n"/>
      <c r="E727" s="10" t="n"/>
      <c r="F727" s="13" t="n"/>
      <c r="G727" s="10" t="n"/>
      <c r="H727" s="10" t="n"/>
      <c r="I727" s="10" t="n"/>
      <c r="J727" s="10" t="n"/>
      <c r="K727" s="10">
        <f>IF(A727="","",TEXT(A727,"yyyy-mm"))</f>
        <v/>
      </c>
      <c r="L727" s="10">
        <f>IF(A727="","",WEEKNUM(A727))</f>
        <v/>
      </c>
      <c r="M727" s="10">
        <f>IF(A727="","",IF(COUNTIFS(A:A,A727,B:B,B727,F:F,F727)&gt;1,"⚠ Possible Duplicate",""))</f>
        <v/>
      </c>
      <c r="N727" s="10" t="n"/>
    </row>
    <row r="728">
      <c r="A728" s="10" t="n"/>
      <c r="B728" s="10" t="n"/>
      <c r="C728" s="10" t="n"/>
      <c r="D728" s="10" t="n"/>
      <c r="E728" s="10" t="n"/>
      <c r="F728" s="13" t="n"/>
      <c r="G728" s="10" t="n"/>
      <c r="H728" s="10" t="n"/>
      <c r="I728" s="10" t="n"/>
      <c r="J728" s="10" t="n"/>
      <c r="K728" s="10">
        <f>IF(A728="","",TEXT(A728,"yyyy-mm"))</f>
        <v/>
      </c>
      <c r="L728" s="10">
        <f>IF(A728="","",WEEKNUM(A728))</f>
        <v/>
      </c>
      <c r="M728" s="10">
        <f>IF(A728="","",IF(COUNTIFS(A:A,A728,B:B,B728,F:F,F728)&gt;1,"⚠ Possible Duplicate",""))</f>
        <v/>
      </c>
      <c r="N728" s="10" t="n"/>
    </row>
    <row r="729">
      <c r="A729" s="10" t="n"/>
      <c r="B729" s="10" t="n"/>
      <c r="C729" s="10" t="n"/>
      <c r="D729" s="10" t="n"/>
      <c r="E729" s="10" t="n"/>
      <c r="F729" s="13" t="n"/>
      <c r="G729" s="10" t="n"/>
      <c r="H729" s="10" t="n"/>
      <c r="I729" s="10" t="n"/>
      <c r="J729" s="10" t="n"/>
      <c r="K729" s="10">
        <f>IF(A729="","",TEXT(A729,"yyyy-mm"))</f>
        <v/>
      </c>
      <c r="L729" s="10">
        <f>IF(A729="","",WEEKNUM(A729))</f>
        <v/>
      </c>
      <c r="M729" s="10">
        <f>IF(A729="","",IF(COUNTIFS(A:A,A729,B:B,B729,F:F,F729)&gt;1,"⚠ Possible Duplicate",""))</f>
        <v/>
      </c>
      <c r="N729" s="10" t="n"/>
    </row>
    <row r="730">
      <c r="A730" s="10" t="n"/>
      <c r="B730" s="10" t="n"/>
      <c r="C730" s="10" t="n"/>
      <c r="D730" s="10" t="n"/>
      <c r="E730" s="10" t="n"/>
      <c r="F730" s="13" t="n"/>
      <c r="G730" s="10" t="n"/>
      <c r="H730" s="10" t="n"/>
      <c r="I730" s="10" t="n"/>
      <c r="J730" s="10" t="n"/>
      <c r="K730" s="10">
        <f>IF(A730="","",TEXT(A730,"yyyy-mm"))</f>
        <v/>
      </c>
      <c r="L730" s="10">
        <f>IF(A730="","",WEEKNUM(A730))</f>
        <v/>
      </c>
      <c r="M730" s="10">
        <f>IF(A730="","",IF(COUNTIFS(A:A,A730,B:B,B730,F:F,F730)&gt;1,"⚠ Possible Duplicate",""))</f>
        <v/>
      </c>
      <c r="N730" s="10" t="n"/>
    </row>
    <row r="731">
      <c r="A731" s="10" t="n"/>
      <c r="B731" s="10" t="n"/>
      <c r="C731" s="10" t="n"/>
      <c r="D731" s="10" t="n"/>
      <c r="E731" s="10" t="n"/>
      <c r="F731" s="13" t="n"/>
      <c r="G731" s="10" t="n"/>
      <c r="H731" s="10" t="n"/>
      <c r="I731" s="10" t="n"/>
      <c r="J731" s="10" t="n"/>
      <c r="K731" s="10">
        <f>IF(A731="","",TEXT(A731,"yyyy-mm"))</f>
        <v/>
      </c>
      <c r="L731" s="10">
        <f>IF(A731="","",WEEKNUM(A731))</f>
        <v/>
      </c>
      <c r="M731" s="10">
        <f>IF(A731="","",IF(COUNTIFS(A:A,A731,B:B,B731,F:F,F731)&gt;1,"⚠ Possible Duplicate",""))</f>
        <v/>
      </c>
      <c r="N731" s="10" t="n"/>
    </row>
    <row r="732">
      <c r="A732" s="10" t="n"/>
      <c r="B732" s="10" t="n"/>
      <c r="C732" s="10" t="n"/>
      <c r="D732" s="10" t="n"/>
      <c r="E732" s="10" t="n"/>
      <c r="F732" s="13" t="n"/>
      <c r="G732" s="10" t="n"/>
      <c r="H732" s="10" t="n"/>
      <c r="I732" s="10" t="n"/>
      <c r="J732" s="10" t="n"/>
      <c r="K732" s="10">
        <f>IF(A732="","",TEXT(A732,"yyyy-mm"))</f>
        <v/>
      </c>
      <c r="L732" s="10">
        <f>IF(A732="","",WEEKNUM(A732))</f>
        <v/>
      </c>
      <c r="M732" s="10">
        <f>IF(A732="","",IF(COUNTIFS(A:A,A732,B:B,B732,F:F,F732)&gt;1,"⚠ Possible Duplicate",""))</f>
        <v/>
      </c>
      <c r="N732" s="10" t="n"/>
    </row>
    <row r="733">
      <c r="A733" s="10" t="n"/>
      <c r="B733" s="10" t="n"/>
      <c r="C733" s="10" t="n"/>
      <c r="D733" s="10" t="n"/>
      <c r="E733" s="10" t="n"/>
      <c r="F733" s="13" t="n"/>
      <c r="G733" s="10" t="n"/>
      <c r="H733" s="10" t="n"/>
      <c r="I733" s="10" t="n"/>
      <c r="J733" s="10" t="n"/>
      <c r="K733" s="10">
        <f>IF(A733="","",TEXT(A733,"yyyy-mm"))</f>
        <v/>
      </c>
      <c r="L733" s="10">
        <f>IF(A733="","",WEEKNUM(A733))</f>
        <v/>
      </c>
      <c r="M733" s="10">
        <f>IF(A733="","",IF(COUNTIFS(A:A,A733,B:B,B733,F:F,F733)&gt;1,"⚠ Possible Duplicate",""))</f>
        <v/>
      </c>
      <c r="N733" s="10" t="n"/>
    </row>
    <row r="734">
      <c r="A734" s="10" t="n"/>
      <c r="B734" s="10" t="n"/>
      <c r="C734" s="10" t="n"/>
      <c r="D734" s="10" t="n"/>
      <c r="E734" s="10" t="n"/>
      <c r="F734" s="13" t="n"/>
      <c r="G734" s="10" t="n"/>
      <c r="H734" s="10" t="n"/>
      <c r="I734" s="10" t="n"/>
      <c r="J734" s="10" t="n"/>
      <c r="K734" s="10">
        <f>IF(A734="","",TEXT(A734,"yyyy-mm"))</f>
        <v/>
      </c>
      <c r="L734" s="10">
        <f>IF(A734="","",WEEKNUM(A734))</f>
        <v/>
      </c>
      <c r="M734" s="10">
        <f>IF(A734="","",IF(COUNTIFS(A:A,A734,B:B,B734,F:F,F734)&gt;1,"⚠ Possible Duplicate",""))</f>
        <v/>
      </c>
      <c r="N734" s="10" t="n"/>
    </row>
    <row r="735">
      <c r="A735" s="10" t="n"/>
      <c r="B735" s="10" t="n"/>
      <c r="C735" s="10" t="n"/>
      <c r="D735" s="10" t="n"/>
      <c r="E735" s="10" t="n"/>
      <c r="F735" s="13" t="n"/>
      <c r="G735" s="10" t="n"/>
      <c r="H735" s="10" t="n"/>
      <c r="I735" s="10" t="n"/>
      <c r="J735" s="10" t="n"/>
      <c r="K735" s="10">
        <f>IF(A735="","",TEXT(A735,"yyyy-mm"))</f>
        <v/>
      </c>
      <c r="L735" s="10">
        <f>IF(A735="","",WEEKNUM(A735))</f>
        <v/>
      </c>
      <c r="M735" s="10">
        <f>IF(A735="","",IF(COUNTIFS(A:A,A735,B:B,B735,F:F,F735)&gt;1,"⚠ Possible Duplicate",""))</f>
        <v/>
      </c>
      <c r="N735" s="10" t="n"/>
    </row>
    <row r="736">
      <c r="A736" s="10" t="n"/>
      <c r="B736" s="10" t="n"/>
      <c r="C736" s="10" t="n"/>
      <c r="D736" s="10" t="n"/>
      <c r="E736" s="10" t="n"/>
      <c r="F736" s="13" t="n"/>
      <c r="G736" s="10" t="n"/>
      <c r="H736" s="10" t="n"/>
      <c r="I736" s="10" t="n"/>
      <c r="J736" s="10" t="n"/>
      <c r="K736" s="10">
        <f>IF(A736="","",TEXT(A736,"yyyy-mm"))</f>
        <v/>
      </c>
      <c r="L736" s="10">
        <f>IF(A736="","",WEEKNUM(A736))</f>
        <v/>
      </c>
      <c r="M736" s="10">
        <f>IF(A736="","",IF(COUNTIFS(A:A,A736,B:B,B736,F:F,F736)&gt;1,"⚠ Possible Duplicate",""))</f>
        <v/>
      </c>
      <c r="N736" s="10" t="n"/>
    </row>
    <row r="737">
      <c r="A737" s="10" t="n"/>
      <c r="B737" s="10" t="n"/>
      <c r="C737" s="10" t="n"/>
      <c r="D737" s="10" t="n"/>
      <c r="E737" s="10" t="n"/>
      <c r="F737" s="13" t="n"/>
      <c r="G737" s="10" t="n"/>
      <c r="H737" s="10" t="n"/>
      <c r="I737" s="10" t="n"/>
      <c r="J737" s="10" t="n"/>
      <c r="K737" s="10">
        <f>IF(A737="","",TEXT(A737,"yyyy-mm"))</f>
        <v/>
      </c>
      <c r="L737" s="10">
        <f>IF(A737="","",WEEKNUM(A737))</f>
        <v/>
      </c>
      <c r="M737" s="10">
        <f>IF(A737="","",IF(COUNTIFS(A:A,A737,B:B,B737,F:F,F737)&gt;1,"⚠ Possible Duplicate",""))</f>
        <v/>
      </c>
      <c r="N737" s="10" t="n"/>
    </row>
    <row r="738">
      <c r="A738" s="10" t="n"/>
      <c r="B738" s="10" t="n"/>
      <c r="C738" s="10" t="n"/>
      <c r="D738" s="10" t="n"/>
      <c r="E738" s="10" t="n"/>
      <c r="F738" s="13" t="n"/>
      <c r="G738" s="10" t="n"/>
      <c r="H738" s="10" t="n"/>
      <c r="I738" s="10" t="n"/>
      <c r="J738" s="10" t="n"/>
      <c r="K738" s="10">
        <f>IF(A738="","",TEXT(A738,"yyyy-mm"))</f>
        <v/>
      </c>
      <c r="L738" s="10">
        <f>IF(A738="","",WEEKNUM(A738))</f>
        <v/>
      </c>
      <c r="M738" s="10">
        <f>IF(A738="","",IF(COUNTIFS(A:A,A738,B:B,B738,F:F,F738)&gt;1,"⚠ Possible Duplicate",""))</f>
        <v/>
      </c>
      <c r="N738" s="10" t="n"/>
    </row>
    <row r="739">
      <c r="A739" s="10" t="n"/>
      <c r="B739" s="10" t="n"/>
      <c r="C739" s="10" t="n"/>
      <c r="D739" s="10" t="n"/>
      <c r="E739" s="10" t="n"/>
      <c r="F739" s="13" t="n"/>
      <c r="G739" s="10" t="n"/>
      <c r="H739" s="10" t="n"/>
      <c r="I739" s="10" t="n"/>
      <c r="J739" s="10" t="n"/>
      <c r="K739" s="10">
        <f>IF(A739="","",TEXT(A739,"yyyy-mm"))</f>
        <v/>
      </c>
      <c r="L739" s="10">
        <f>IF(A739="","",WEEKNUM(A739))</f>
        <v/>
      </c>
      <c r="M739" s="10">
        <f>IF(A739="","",IF(COUNTIFS(A:A,A739,B:B,B739,F:F,F739)&gt;1,"⚠ Possible Duplicate",""))</f>
        <v/>
      </c>
      <c r="N739" s="10" t="n"/>
    </row>
    <row r="740">
      <c r="A740" s="10" t="n"/>
      <c r="B740" s="10" t="n"/>
      <c r="C740" s="10" t="n"/>
      <c r="D740" s="10" t="n"/>
      <c r="E740" s="10" t="n"/>
      <c r="F740" s="13" t="n"/>
      <c r="G740" s="10" t="n"/>
      <c r="H740" s="10" t="n"/>
      <c r="I740" s="10" t="n"/>
      <c r="J740" s="10" t="n"/>
      <c r="K740" s="10">
        <f>IF(A740="","",TEXT(A740,"yyyy-mm"))</f>
        <v/>
      </c>
      <c r="L740" s="10">
        <f>IF(A740="","",WEEKNUM(A740))</f>
        <v/>
      </c>
      <c r="M740" s="10">
        <f>IF(A740="","",IF(COUNTIFS(A:A,A740,B:B,B740,F:F,F740)&gt;1,"⚠ Possible Duplicate",""))</f>
        <v/>
      </c>
      <c r="N740" s="10" t="n"/>
    </row>
    <row r="741">
      <c r="A741" s="10" t="n"/>
      <c r="B741" s="10" t="n"/>
      <c r="C741" s="10" t="n"/>
      <c r="D741" s="10" t="n"/>
      <c r="E741" s="10" t="n"/>
      <c r="F741" s="13" t="n"/>
      <c r="G741" s="10" t="n"/>
      <c r="H741" s="10" t="n"/>
      <c r="I741" s="10" t="n"/>
      <c r="J741" s="10" t="n"/>
      <c r="K741" s="10">
        <f>IF(A741="","",TEXT(A741,"yyyy-mm"))</f>
        <v/>
      </c>
      <c r="L741" s="10">
        <f>IF(A741="","",WEEKNUM(A741))</f>
        <v/>
      </c>
      <c r="M741" s="10">
        <f>IF(A741="","",IF(COUNTIFS(A:A,A741,B:B,B741,F:F,F741)&gt;1,"⚠ Possible Duplicate",""))</f>
        <v/>
      </c>
      <c r="N741" s="10" t="n"/>
    </row>
    <row r="742">
      <c r="A742" s="10" t="n"/>
      <c r="B742" s="10" t="n"/>
      <c r="C742" s="10" t="n"/>
      <c r="D742" s="10" t="n"/>
      <c r="E742" s="10" t="n"/>
      <c r="F742" s="13" t="n"/>
      <c r="G742" s="10" t="n"/>
      <c r="H742" s="10" t="n"/>
      <c r="I742" s="10" t="n"/>
      <c r="J742" s="10" t="n"/>
      <c r="K742" s="10">
        <f>IF(A742="","",TEXT(A742,"yyyy-mm"))</f>
        <v/>
      </c>
      <c r="L742" s="10">
        <f>IF(A742="","",WEEKNUM(A742))</f>
        <v/>
      </c>
      <c r="M742" s="10">
        <f>IF(A742="","",IF(COUNTIFS(A:A,A742,B:B,B742,F:F,F742)&gt;1,"⚠ Possible Duplicate",""))</f>
        <v/>
      </c>
      <c r="N742" s="10" t="n"/>
    </row>
    <row r="743">
      <c r="A743" s="10" t="n"/>
      <c r="B743" s="10" t="n"/>
      <c r="C743" s="10" t="n"/>
      <c r="D743" s="10" t="n"/>
      <c r="E743" s="10" t="n"/>
      <c r="F743" s="13" t="n"/>
      <c r="G743" s="10" t="n"/>
      <c r="H743" s="10" t="n"/>
      <c r="I743" s="10" t="n"/>
      <c r="J743" s="10" t="n"/>
      <c r="K743" s="10">
        <f>IF(A743="","",TEXT(A743,"yyyy-mm"))</f>
        <v/>
      </c>
      <c r="L743" s="10">
        <f>IF(A743="","",WEEKNUM(A743))</f>
        <v/>
      </c>
      <c r="M743" s="10">
        <f>IF(A743="","",IF(COUNTIFS(A:A,A743,B:B,B743,F:F,F743)&gt;1,"⚠ Possible Duplicate",""))</f>
        <v/>
      </c>
      <c r="N743" s="10" t="n"/>
    </row>
    <row r="744">
      <c r="A744" s="10" t="n"/>
      <c r="B744" s="10" t="n"/>
      <c r="C744" s="10" t="n"/>
      <c r="D744" s="10" t="n"/>
      <c r="E744" s="10" t="n"/>
      <c r="F744" s="13" t="n"/>
      <c r="G744" s="10" t="n"/>
      <c r="H744" s="10" t="n"/>
      <c r="I744" s="10" t="n"/>
      <c r="J744" s="10" t="n"/>
      <c r="K744" s="10">
        <f>IF(A744="","",TEXT(A744,"yyyy-mm"))</f>
        <v/>
      </c>
      <c r="L744" s="10">
        <f>IF(A744="","",WEEKNUM(A744))</f>
        <v/>
      </c>
      <c r="M744" s="10">
        <f>IF(A744="","",IF(COUNTIFS(A:A,A744,B:B,B744,F:F,F744)&gt;1,"⚠ Possible Duplicate",""))</f>
        <v/>
      </c>
      <c r="N744" s="10" t="n"/>
    </row>
    <row r="745">
      <c r="A745" s="10" t="n"/>
      <c r="B745" s="10" t="n"/>
      <c r="C745" s="10" t="n"/>
      <c r="D745" s="10" t="n"/>
      <c r="E745" s="10" t="n"/>
      <c r="F745" s="13" t="n"/>
      <c r="G745" s="10" t="n"/>
      <c r="H745" s="10" t="n"/>
      <c r="I745" s="10" t="n"/>
      <c r="J745" s="10" t="n"/>
      <c r="K745" s="10">
        <f>IF(A745="","",TEXT(A745,"yyyy-mm"))</f>
        <v/>
      </c>
      <c r="L745" s="10">
        <f>IF(A745="","",WEEKNUM(A745))</f>
        <v/>
      </c>
      <c r="M745" s="10">
        <f>IF(A745="","",IF(COUNTIFS(A:A,A745,B:B,B745,F:F,F745)&gt;1,"⚠ Possible Duplicate",""))</f>
        <v/>
      </c>
      <c r="N745" s="10" t="n"/>
    </row>
    <row r="746">
      <c r="A746" s="10" t="n"/>
      <c r="B746" s="10" t="n"/>
      <c r="C746" s="10" t="n"/>
      <c r="D746" s="10" t="n"/>
      <c r="E746" s="10" t="n"/>
      <c r="F746" s="13" t="n"/>
      <c r="G746" s="10" t="n"/>
      <c r="H746" s="10" t="n"/>
      <c r="I746" s="10" t="n"/>
      <c r="J746" s="10" t="n"/>
      <c r="K746" s="10">
        <f>IF(A746="","",TEXT(A746,"yyyy-mm"))</f>
        <v/>
      </c>
      <c r="L746" s="10">
        <f>IF(A746="","",WEEKNUM(A746))</f>
        <v/>
      </c>
      <c r="M746" s="10">
        <f>IF(A746="","",IF(COUNTIFS(A:A,A746,B:B,B746,F:F,F746)&gt;1,"⚠ Possible Duplicate",""))</f>
        <v/>
      </c>
      <c r="N746" s="10" t="n"/>
    </row>
    <row r="747">
      <c r="A747" s="10" t="n"/>
      <c r="B747" s="10" t="n"/>
      <c r="C747" s="10" t="n"/>
      <c r="D747" s="10" t="n"/>
      <c r="E747" s="10" t="n"/>
      <c r="F747" s="13" t="n"/>
      <c r="G747" s="10" t="n"/>
      <c r="H747" s="10" t="n"/>
      <c r="I747" s="10" t="n"/>
      <c r="J747" s="10" t="n"/>
      <c r="K747" s="10">
        <f>IF(A747="","",TEXT(A747,"yyyy-mm"))</f>
        <v/>
      </c>
      <c r="L747" s="10">
        <f>IF(A747="","",WEEKNUM(A747))</f>
        <v/>
      </c>
      <c r="M747" s="10">
        <f>IF(A747="","",IF(COUNTIFS(A:A,A747,B:B,B747,F:F,F747)&gt;1,"⚠ Possible Duplicate",""))</f>
        <v/>
      </c>
      <c r="N747" s="10" t="n"/>
    </row>
    <row r="748">
      <c r="A748" s="10" t="n"/>
      <c r="B748" s="10" t="n"/>
      <c r="C748" s="10" t="n"/>
      <c r="D748" s="10" t="n"/>
      <c r="E748" s="10" t="n"/>
      <c r="F748" s="13" t="n"/>
      <c r="G748" s="10" t="n"/>
      <c r="H748" s="10" t="n"/>
      <c r="I748" s="10" t="n"/>
      <c r="J748" s="10" t="n"/>
      <c r="K748" s="10">
        <f>IF(A748="","",TEXT(A748,"yyyy-mm"))</f>
        <v/>
      </c>
      <c r="L748" s="10">
        <f>IF(A748="","",WEEKNUM(A748))</f>
        <v/>
      </c>
      <c r="M748" s="10">
        <f>IF(A748="","",IF(COUNTIFS(A:A,A748,B:B,B748,F:F,F748)&gt;1,"⚠ Possible Duplicate",""))</f>
        <v/>
      </c>
      <c r="N748" s="10" t="n"/>
    </row>
    <row r="749">
      <c r="A749" s="10" t="n"/>
      <c r="B749" s="10" t="n"/>
      <c r="C749" s="10" t="n"/>
      <c r="D749" s="10" t="n"/>
      <c r="E749" s="10" t="n"/>
      <c r="F749" s="13" t="n"/>
      <c r="G749" s="10" t="n"/>
      <c r="H749" s="10" t="n"/>
      <c r="I749" s="10" t="n"/>
      <c r="J749" s="10" t="n"/>
      <c r="K749" s="10">
        <f>IF(A749="","",TEXT(A749,"yyyy-mm"))</f>
        <v/>
      </c>
      <c r="L749" s="10">
        <f>IF(A749="","",WEEKNUM(A749))</f>
        <v/>
      </c>
      <c r="M749" s="10">
        <f>IF(A749="","",IF(COUNTIFS(A:A,A749,B:B,B749,F:F,F749)&gt;1,"⚠ Possible Duplicate",""))</f>
        <v/>
      </c>
      <c r="N749" s="10" t="n"/>
    </row>
    <row r="750">
      <c r="A750" s="10" t="n"/>
      <c r="B750" s="10" t="n"/>
      <c r="C750" s="10" t="n"/>
      <c r="D750" s="10" t="n"/>
      <c r="E750" s="10" t="n"/>
      <c r="F750" s="13" t="n"/>
      <c r="G750" s="10" t="n"/>
      <c r="H750" s="10" t="n"/>
      <c r="I750" s="10" t="n"/>
      <c r="J750" s="10" t="n"/>
      <c r="K750" s="10">
        <f>IF(A750="","",TEXT(A750,"yyyy-mm"))</f>
        <v/>
      </c>
      <c r="L750" s="10">
        <f>IF(A750="","",WEEKNUM(A750))</f>
        <v/>
      </c>
      <c r="M750" s="10">
        <f>IF(A750="","",IF(COUNTIFS(A:A,A750,B:B,B750,F:F,F750)&gt;1,"⚠ Possible Duplicate",""))</f>
        <v/>
      </c>
      <c r="N750" s="10" t="n"/>
    </row>
    <row r="751">
      <c r="A751" s="10" t="n"/>
      <c r="B751" s="10" t="n"/>
      <c r="C751" s="10" t="n"/>
      <c r="D751" s="10" t="n"/>
      <c r="E751" s="10" t="n"/>
      <c r="F751" s="13" t="n"/>
      <c r="G751" s="10" t="n"/>
      <c r="H751" s="10" t="n"/>
      <c r="I751" s="10" t="n"/>
      <c r="J751" s="10" t="n"/>
      <c r="K751" s="10">
        <f>IF(A751="","",TEXT(A751,"yyyy-mm"))</f>
        <v/>
      </c>
      <c r="L751" s="10">
        <f>IF(A751="","",WEEKNUM(A751))</f>
        <v/>
      </c>
      <c r="M751" s="10">
        <f>IF(A751="","",IF(COUNTIFS(A:A,A751,B:B,B751,F:F,F751)&gt;1,"⚠ Possible Duplicate",""))</f>
        <v/>
      </c>
      <c r="N751" s="10" t="n"/>
    </row>
    <row r="752">
      <c r="A752" s="10" t="n"/>
      <c r="B752" s="10" t="n"/>
      <c r="C752" s="10" t="n"/>
      <c r="D752" s="10" t="n"/>
      <c r="E752" s="10" t="n"/>
      <c r="F752" s="13" t="n"/>
      <c r="G752" s="10" t="n"/>
      <c r="H752" s="10" t="n"/>
      <c r="I752" s="10" t="n"/>
      <c r="J752" s="10" t="n"/>
      <c r="K752" s="10">
        <f>IF(A752="","",TEXT(A752,"yyyy-mm"))</f>
        <v/>
      </c>
      <c r="L752" s="10">
        <f>IF(A752="","",WEEKNUM(A752))</f>
        <v/>
      </c>
      <c r="M752" s="10">
        <f>IF(A752="","",IF(COUNTIFS(A:A,A752,B:B,B752,F:F,F752)&gt;1,"⚠ Possible Duplicate",""))</f>
        <v/>
      </c>
      <c r="N752" s="10" t="n"/>
    </row>
    <row r="753">
      <c r="A753" s="10" t="n"/>
      <c r="B753" s="10" t="n"/>
      <c r="C753" s="10" t="n"/>
      <c r="D753" s="10" t="n"/>
      <c r="E753" s="10" t="n"/>
      <c r="F753" s="13" t="n"/>
      <c r="G753" s="10" t="n"/>
      <c r="H753" s="10" t="n"/>
      <c r="I753" s="10" t="n"/>
      <c r="J753" s="10" t="n"/>
      <c r="K753" s="10">
        <f>IF(A753="","",TEXT(A753,"yyyy-mm"))</f>
        <v/>
      </c>
      <c r="L753" s="10">
        <f>IF(A753="","",WEEKNUM(A753))</f>
        <v/>
      </c>
      <c r="M753" s="10">
        <f>IF(A753="","",IF(COUNTIFS(A:A,A753,B:B,B753,F:F,F753)&gt;1,"⚠ Possible Duplicate",""))</f>
        <v/>
      </c>
      <c r="N753" s="10" t="n"/>
    </row>
    <row r="754">
      <c r="A754" s="10" t="n"/>
      <c r="B754" s="10" t="n"/>
      <c r="C754" s="10" t="n"/>
      <c r="D754" s="10" t="n"/>
      <c r="E754" s="10" t="n"/>
      <c r="F754" s="13" t="n"/>
      <c r="G754" s="10" t="n"/>
      <c r="H754" s="10" t="n"/>
      <c r="I754" s="10" t="n"/>
      <c r="J754" s="10" t="n"/>
      <c r="K754" s="10">
        <f>IF(A754="","",TEXT(A754,"yyyy-mm"))</f>
        <v/>
      </c>
      <c r="L754" s="10">
        <f>IF(A754="","",WEEKNUM(A754))</f>
        <v/>
      </c>
      <c r="M754" s="10">
        <f>IF(A754="","",IF(COUNTIFS(A:A,A754,B:B,B754,F:F,F754)&gt;1,"⚠ Possible Duplicate",""))</f>
        <v/>
      </c>
      <c r="N754" s="10" t="n"/>
    </row>
    <row r="755">
      <c r="A755" s="10" t="n"/>
      <c r="B755" s="10" t="n"/>
      <c r="C755" s="10" t="n"/>
      <c r="D755" s="10" t="n"/>
      <c r="E755" s="10" t="n"/>
      <c r="F755" s="13" t="n"/>
      <c r="G755" s="10" t="n"/>
      <c r="H755" s="10" t="n"/>
      <c r="I755" s="10" t="n"/>
      <c r="J755" s="10" t="n"/>
      <c r="K755" s="10">
        <f>IF(A755="","",TEXT(A755,"yyyy-mm"))</f>
        <v/>
      </c>
      <c r="L755" s="10">
        <f>IF(A755="","",WEEKNUM(A755))</f>
        <v/>
      </c>
      <c r="M755" s="10">
        <f>IF(A755="","",IF(COUNTIFS(A:A,A755,B:B,B755,F:F,F755)&gt;1,"⚠ Possible Duplicate",""))</f>
        <v/>
      </c>
      <c r="N755" s="10" t="n"/>
    </row>
    <row r="756">
      <c r="A756" s="10" t="n"/>
      <c r="B756" s="10" t="n"/>
      <c r="C756" s="10" t="n"/>
      <c r="D756" s="10" t="n"/>
      <c r="E756" s="10" t="n"/>
      <c r="F756" s="13" t="n"/>
      <c r="G756" s="10" t="n"/>
      <c r="H756" s="10" t="n"/>
      <c r="I756" s="10" t="n"/>
      <c r="J756" s="10" t="n"/>
      <c r="K756" s="10">
        <f>IF(A756="","",TEXT(A756,"yyyy-mm"))</f>
        <v/>
      </c>
      <c r="L756" s="10">
        <f>IF(A756="","",WEEKNUM(A756))</f>
        <v/>
      </c>
      <c r="M756" s="10">
        <f>IF(A756="","",IF(COUNTIFS(A:A,A756,B:B,B756,F:F,F756)&gt;1,"⚠ Possible Duplicate",""))</f>
        <v/>
      </c>
      <c r="N756" s="10" t="n"/>
    </row>
    <row r="757">
      <c r="A757" s="10" t="n"/>
      <c r="B757" s="10" t="n"/>
      <c r="C757" s="10" t="n"/>
      <c r="D757" s="10" t="n"/>
      <c r="E757" s="10" t="n"/>
      <c r="F757" s="13" t="n"/>
      <c r="G757" s="10" t="n"/>
      <c r="H757" s="10" t="n"/>
      <c r="I757" s="10" t="n"/>
      <c r="J757" s="10" t="n"/>
      <c r="K757" s="10">
        <f>IF(A757="","",TEXT(A757,"yyyy-mm"))</f>
        <v/>
      </c>
      <c r="L757" s="10">
        <f>IF(A757="","",WEEKNUM(A757))</f>
        <v/>
      </c>
      <c r="M757" s="10">
        <f>IF(A757="","",IF(COUNTIFS(A:A,A757,B:B,B757,F:F,F757)&gt;1,"⚠ Possible Duplicate",""))</f>
        <v/>
      </c>
      <c r="N757" s="10" t="n"/>
    </row>
    <row r="758">
      <c r="A758" s="10" t="n"/>
      <c r="B758" s="10" t="n"/>
      <c r="C758" s="10" t="n"/>
      <c r="D758" s="10" t="n"/>
      <c r="E758" s="10" t="n"/>
      <c r="F758" s="13" t="n"/>
      <c r="G758" s="10" t="n"/>
      <c r="H758" s="10" t="n"/>
      <c r="I758" s="10" t="n"/>
      <c r="J758" s="10" t="n"/>
      <c r="K758" s="10">
        <f>IF(A758="","",TEXT(A758,"yyyy-mm"))</f>
        <v/>
      </c>
      <c r="L758" s="10">
        <f>IF(A758="","",WEEKNUM(A758))</f>
        <v/>
      </c>
      <c r="M758" s="10">
        <f>IF(A758="","",IF(COUNTIFS(A:A,A758,B:B,B758,F:F,F758)&gt;1,"⚠ Possible Duplicate",""))</f>
        <v/>
      </c>
      <c r="N758" s="10" t="n"/>
    </row>
    <row r="759">
      <c r="A759" s="10" t="n"/>
      <c r="B759" s="10" t="n"/>
      <c r="C759" s="10" t="n"/>
      <c r="D759" s="10" t="n"/>
      <c r="E759" s="10" t="n"/>
      <c r="F759" s="13" t="n"/>
      <c r="G759" s="10" t="n"/>
      <c r="H759" s="10" t="n"/>
      <c r="I759" s="10" t="n"/>
      <c r="J759" s="10" t="n"/>
      <c r="K759" s="10">
        <f>IF(A759="","",TEXT(A759,"yyyy-mm"))</f>
        <v/>
      </c>
      <c r="L759" s="10">
        <f>IF(A759="","",WEEKNUM(A759))</f>
        <v/>
      </c>
      <c r="M759" s="10">
        <f>IF(A759="","",IF(COUNTIFS(A:A,A759,B:B,B759,F:F,F759)&gt;1,"⚠ Possible Duplicate",""))</f>
        <v/>
      </c>
      <c r="N759" s="10" t="n"/>
    </row>
    <row r="760">
      <c r="A760" s="10" t="n"/>
      <c r="B760" s="10" t="n"/>
      <c r="C760" s="10" t="n"/>
      <c r="D760" s="10" t="n"/>
      <c r="E760" s="10" t="n"/>
      <c r="F760" s="13" t="n"/>
      <c r="G760" s="10" t="n"/>
      <c r="H760" s="10" t="n"/>
      <c r="I760" s="10" t="n"/>
      <c r="J760" s="10" t="n"/>
      <c r="K760" s="10">
        <f>IF(A760="","",TEXT(A760,"yyyy-mm"))</f>
        <v/>
      </c>
      <c r="L760" s="10">
        <f>IF(A760="","",WEEKNUM(A760))</f>
        <v/>
      </c>
      <c r="M760" s="10">
        <f>IF(A760="","",IF(COUNTIFS(A:A,A760,B:B,B760,F:F,F760)&gt;1,"⚠ Possible Duplicate",""))</f>
        <v/>
      </c>
      <c r="N760" s="10" t="n"/>
    </row>
    <row r="761">
      <c r="A761" s="10" t="n"/>
      <c r="B761" s="10" t="n"/>
      <c r="C761" s="10" t="n"/>
      <c r="D761" s="10" t="n"/>
      <c r="E761" s="10" t="n"/>
      <c r="F761" s="13" t="n"/>
      <c r="G761" s="10" t="n"/>
      <c r="H761" s="10" t="n"/>
      <c r="I761" s="10" t="n"/>
      <c r="J761" s="10" t="n"/>
      <c r="K761" s="10">
        <f>IF(A761="","",TEXT(A761,"yyyy-mm"))</f>
        <v/>
      </c>
      <c r="L761" s="10">
        <f>IF(A761="","",WEEKNUM(A761))</f>
        <v/>
      </c>
      <c r="M761" s="10">
        <f>IF(A761="","",IF(COUNTIFS(A:A,A761,B:B,B761,F:F,F761)&gt;1,"⚠ Possible Duplicate",""))</f>
        <v/>
      </c>
      <c r="N761" s="10" t="n"/>
    </row>
    <row r="762">
      <c r="A762" s="10" t="n"/>
      <c r="B762" s="10" t="n"/>
      <c r="C762" s="10" t="n"/>
      <c r="D762" s="10" t="n"/>
      <c r="E762" s="10" t="n"/>
      <c r="F762" s="13" t="n"/>
      <c r="G762" s="10" t="n"/>
      <c r="H762" s="10" t="n"/>
      <c r="I762" s="10" t="n"/>
      <c r="J762" s="10" t="n"/>
      <c r="K762" s="10">
        <f>IF(A762="","",TEXT(A762,"yyyy-mm"))</f>
        <v/>
      </c>
      <c r="L762" s="10">
        <f>IF(A762="","",WEEKNUM(A762))</f>
        <v/>
      </c>
      <c r="M762" s="10">
        <f>IF(A762="","",IF(COUNTIFS(A:A,A762,B:B,B762,F:F,F762)&gt;1,"⚠ Possible Duplicate",""))</f>
        <v/>
      </c>
      <c r="N762" s="10" t="n"/>
    </row>
    <row r="763">
      <c r="A763" s="10" t="n"/>
      <c r="B763" s="10" t="n"/>
      <c r="C763" s="10" t="n"/>
      <c r="D763" s="10" t="n"/>
      <c r="E763" s="10" t="n"/>
      <c r="F763" s="13" t="n"/>
      <c r="G763" s="10" t="n"/>
      <c r="H763" s="10" t="n"/>
      <c r="I763" s="10" t="n"/>
      <c r="J763" s="10" t="n"/>
      <c r="K763" s="10">
        <f>IF(A763="","",TEXT(A763,"yyyy-mm"))</f>
        <v/>
      </c>
      <c r="L763" s="10">
        <f>IF(A763="","",WEEKNUM(A763))</f>
        <v/>
      </c>
      <c r="M763" s="10">
        <f>IF(A763="","",IF(COUNTIFS(A:A,A763,B:B,B763,F:F,F763)&gt;1,"⚠ Possible Duplicate",""))</f>
        <v/>
      </c>
      <c r="N763" s="10" t="n"/>
    </row>
    <row r="764">
      <c r="A764" s="10" t="n"/>
      <c r="B764" s="10" t="n"/>
      <c r="C764" s="10" t="n"/>
      <c r="D764" s="10" t="n"/>
      <c r="E764" s="10" t="n"/>
      <c r="F764" s="13" t="n"/>
      <c r="G764" s="10" t="n"/>
      <c r="H764" s="10" t="n"/>
      <c r="I764" s="10" t="n"/>
      <c r="J764" s="10" t="n"/>
      <c r="K764" s="10">
        <f>IF(A764="","",TEXT(A764,"yyyy-mm"))</f>
        <v/>
      </c>
      <c r="L764" s="10">
        <f>IF(A764="","",WEEKNUM(A764))</f>
        <v/>
      </c>
      <c r="M764" s="10">
        <f>IF(A764="","",IF(COUNTIFS(A:A,A764,B:B,B764,F:F,F764)&gt;1,"⚠ Possible Duplicate",""))</f>
        <v/>
      </c>
      <c r="N764" s="10" t="n"/>
    </row>
    <row r="765">
      <c r="A765" s="10" t="n"/>
      <c r="B765" s="10" t="n"/>
      <c r="C765" s="10" t="n"/>
      <c r="D765" s="10" t="n"/>
      <c r="E765" s="10" t="n"/>
      <c r="F765" s="13" t="n"/>
      <c r="G765" s="10" t="n"/>
      <c r="H765" s="10" t="n"/>
      <c r="I765" s="10" t="n"/>
      <c r="J765" s="10" t="n"/>
      <c r="K765" s="10">
        <f>IF(A765="","",TEXT(A765,"yyyy-mm"))</f>
        <v/>
      </c>
      <c r="L765" s="10">
        <f>IF(A765="","",WEEKNUM(A765))</f>
        <v/>
      </c>
      <c r="M765" s="10">
        <f>IF(A765="","",IF(COUNTIFS(A:A,A765,B:B,B765,F:F,F765)&gt;1,"⚠ Possible Duplicate",""))</f>
        <v/>
      </c>
      <c r="N765" s="10" t="n"/>
    </row>
    <row r="766">
      <c r="A766" s="10" t="n"/>
      <c r="B766" s="10" t="n"/>
      <c r="C766" s="10" t="n"/>
      <c r="D766" s="10" t="n"/>
      <c r="E766" s="10" t="n"/>
      <c r="F766" s="13" t="n"/>
      <c r="G766" s="10" t="n"/>
      <c r="H766" s="10" t="n"/>
      <c r="I766" s="10" t="n"/>
      <c r="J766" s="10" t="n"/>
      <c r="K766" s="10">
        <f>IF(A766="","",TEXT(A766,"yyyy-mm"))</f>
        <v/>
      </c>
      <c r="L766" s="10">
        <f>IF(A766="","",WEEKNUM(A766))</f>
        <v/>
      </c>
      <c r="M766" s="10">
        <f>IF(A766="","",IF(COUNTIFS(A:A,A766,B:B,B766,F:F,F766)&gt;1,"⚠ Possible Duplicate",""))</f>
        <v/>
      </c>
      <c r="N766" s="10" t="n"/>
    </row>
    <row r="767">
      <c r="A767" s="10" t="n"/>
      <c r="B767" s="10" t="n"/>
      <c r="C767" s="10" t="n"/>
      <c r="D767" s="10" t="n"/>
      <c r="E767" s="10" t="n"/>
      <c r="F767" s="13" t="n"/>
      <c r="G767" s="10" t="n"/>
      <c r="H767" s="10" t="n"/>
      <c r="I767" s="10" t="n"/>
      <c r="J767" s="10" t="n"/>
      <c r="K767" s="10">
        <f>IF(A767="","",TEXT(A767,"yyyy-mm"))</f>
        <v/>
      </c>
      <c r="L767" s="10">
        <f>IF(A767="","",WEEKNUM(A767))</f>
        <v/>
      </c>
      <c r="M767" s="10">
        <f>IF(A767="","",IF(COUNTIFS(A:A,A767,B:B,B767,F:F,F767)&gt;1,"⚠ Possible Duplicate",""))</f>
        <v/>
      </c>
      <c r="N767" s="10" t="n"/>
    </row>
    <row r="768">
      <c r="A768" s="10" t="n"/>
      <c r="B768" s="10" t="n"/>
      <c r="C768" s="10" t="n"/>
      <c r="D768" s="10" t="n"/>
      <c r="E768" s="10" t="n"/>
      <c r="F768" s="13" t="n"/>
      <c r="G768" s="10" t="n"/>
      <c r="H768" s="10" t="n"/>
      <c r="I768" s="10" t="n"/>
      <c r="J768" s="10" t="n"/>
      <c r="K768" s="10">
        <f>IF(A768="","",TEXT(A768,"yyyy-mm"))</f>
        <v/>
      </c>
      <c r="L768" s="10">
        <f>IF(A768="","",WEEKNUM(A768))</f>
        <v/>
      </c>
      <c r="M768" s="10">
        <f>IF(A768="","",IF(COUNTIFS(A:A,A768,B:B,B768,F:F,F768)&gt;1,"⚠ Possible Duplicate",""))</f>
        <v/>
      </c>
      <c r="N768" s="10" t="n"/>
    </row>
    <row r="769">
      <c r="A769" s="10" t="n"/>
      <c r="B769" s="10" t="n"/>
      <c r="C769" s="10" t="n"/>
      <c r="D769" s="10" t="n"/>
      <c r="E769" s="10" t="n"/>
      <c r="F769" s="13" t="n"/>
      <c r="G769" s="10" t="n"/>
      <c r="H769" s="10" t="n"/>
      <c r="I769" s="10" t="n"/>
      <c r="J769" s="10" t="n"/>
      <c r="K769" s="10">
        <f>IF(A769="","",TEXT(A769,"yyyy-mm"))</f>
        <v/>
      </c>
      <c r="L769" s="10">
        <f>IF(A769="","",WEEKNUM(A769))</f>
        <v/>
      </c>
      <c r="M769" s="10">
        <f>IF(A769="","",IF(COUNTIFS(A:A,A769,B:B,B769,F:F,F769)&gt;1,"⚠ Possible Duplicate",""))</f>
        <v/>
      </c>
      <c r="N769" s="10" t="n"/>
    </row>
    <row r="770">
      <c r="A770" s="10" t="n"/>
      <c r="B770" s="10" t="n"/>
      <c r="C770" s="10" t="n"/>
      <c r="D770" s="10" t="n"/>
      <c r="E770" s="10" t="n"/>
      <c r="F770" s="13" t="n"/>
      <c r="G770" s="10" t="n"/>
      <c r="H770" s="10" t="n"/>
      <c r="I770" s="10" t="n"/>
      <c r="J770" s="10" t="n"/>
      <c r="K770" s="10">
        <f>IF(A770="","",TEXT(A770,"yyyy-mm"))</f>
        <v/>
      </c>
      <c r="L770" s="10">
        <f>IF(A770="","",WEEKNUM(A770))</f>
        <v/>
      </c>
      <c r="M770" s="10">
        <f>IF(A770="","",IF(COUNTIFS(A:A,A770,B:B,B770,F:F,F770)&gt;1,"⚠ Possible Duplicate",""))</f>
        <v/>
      </c>
      <c r="N770" s="10" t="n"/>
    </row>
    <row r="771">
      <c r="A771" s="10" t="n"/>
      <c r="B771" s="10" t="n"/>
      <c r="C771" s="10" t="n"/>
      <c r="D771" s="10" t="n"/>
      <c r="E771" s="10" t="n"/>
      <c r="F771" s="13" t="n"/>
      <c r="G771" s="10" t="n"/>
      <c r="H771" s="10" t="n"/>
      <c r="I771" s="10" t="n"/>
      <c r="J771" s="10" t="n"/>
      <c r="K771" s="10">
        <f>IF(A771="","",TEXT(A771,"yyyy-mm"))</f>
        <v/>
      </c>
      <c r="L771" s="10">
        <f>IF(A771="","",WEEKNUM(A771))</f>
        <v/>
      </c>
      <c r="M771" s="10">
        <f>IF(A771="","",IF(COUNTIFS(A:A,A771,B:B,B771,F:F,F771)&gt;1,"⚠ Possible Duplicate",""))</f>
        <v/>
      </c>
      <c r="N771" s="10" t="n"/>
    </row>
    <row r="772">
      <c r="A772" s="10" t="n"/>
      <c r="B772" s="10" t="n"/>
      <c r="C772" s="10" t="n"/>
      <c r="D772" s="10" t="n"/>
      <c r="E772" s="10" t="n"/>
      <c r="F772" s="13" t="n"/>
      <c r="G772" s="10" t="n"/>
      <c r="H772" s="10" t="n"/>
      <c r="I772" s="10" t="n"/>
      <c r="J772" s="10" t="n"/>
      <c r="K772" s="10">
        <f>IF(A772="","",TEXT(A772,"yyyy-mm"))</f>
        <v/>
      </c>
      <c r="L772" s="10">
        <f>IF(A772="","",WEEKNUM(A772))</f>
        <v/>
      </c>
      <c r="M772" s="10">
        <f>IF(A772="","",IF(COUNTIFS(A:A,A772,B:B,B772,F:F,F772)&gt;1,"⚠ Possible Duplicate",""))</f>
        <v/>
      </c>
      <c r="N772" s="10" t="n"/>
    </row>
    <row r="773">
      <c r="A773" s="10" t="n"/>
      <c r="B773" s="10" t="n"/>
      <c r="C773" s="10" t="n"/>
      <c r="D773" s="10" t="n"/>
      <c r="E773" s="10" t="n"/>
      <c r="F773" s="13" t="n"/>
      <c r="G773" s="10" t="n"/>
      <c r="H773" s="10" t="n"/>
      <c r="I773" s="10" t="n"/>
      <c r="J773" s="10" t="n"/>
      <c r="K773" s="10">
        <f>IF(A773="","",TEXT(A773,"yyyy-mm"))</f>
        <v/>
      </c>
      <c r="L773" s="10">
        <f>IF(A773="","",WEEKNUM(A773))</f>
        <v/>
      </c>
      <c r="M773" s="10">
        <f>IF(A773="","",IF(COUNTIFS(A:A,A773,B:B,B773,F:F,F773)&gt;1,"⚠ Possible Duplicate",""))</f>
        <v/>
      </c>
      <c r="N773" s="10" t="n"/>
    </row>
    <row r="774">
      <c r="A774" s="10" t="n"/>
      <c r="B774" s="10" t="n"/>
      <c r="C774" s="10" t="n"/>
      <c r="D774" s="10" t="n"/>
      <c r="E774" s="10" t="n"/>
      <c r="F774" s="13" t="n"/>
      <c r="G774" s="10" t="n"/>
      <c r="H774" s="10" t="n"/>
      <c r="I774" s="10" t="n"/>
      <c r="J774" s="10" t="n"/>
      <c r="K774" s="10">
        <f>IF(A774="","",TEXT(A774,"yyyy-mm"))</f>
        <v/>
      </c>
      <c r="L774" s="10">
        <f>IF(A774="","",WEEKNUM(A774))</f>
        <v/>
      </c>
      <c r="M774" s="10">
        <f>IF(A774="","",IF(COUNTIFS(A:A,A774,B:B,B774,F:F,F774)&gt;1,"⚠ Possible Duplicate",""))</f>
        <v/>
      </c>
      <c r="N774" s="10" t="n"/>
    </row>
    <row r="775">
      <c r="A775" s="10" t="n"/>
      <c r="B775" s="10" t="n"/>
      <c r="C775" s="10" t="n"/>
      <c r="D775" s="10" t="n"/>
      <c r="E775" s="10" t="n"/>
      <c r="F775" s="13" t="n"/>
      <c r="G775" s="10" t="n"/>
      <c r="H775" s="10" t="n"/>
      <c r="I775" s="10" t="n"/>
      <c r="J775" s="10" t="n"/>
      <c r="K775" s="10">
        <f>IF(A775="","",TEXT(A775,"yyyy-mm"))</f>
        <v/>
      </c>
      <c r="L775" s="10">
        <f>IF(A775="","",WEEKNUM(A775))</f>
        <v/>
      </c>
      <c r="M775" s="10">
        <f>IF(A775="","",IF(COUNTIFS(A:A,A775,B:B,B775,F:F,F775)&gt;1,"⚠ Possible Duplicate",""))</f>
        <v/>
      </c>
      <c r="N775" s="10" t="n"/>
    </row>
    <row r="776">
      <c r="A776" s="10" t="n"/>
      <c r="B776" s="10" t="n"/>
      <c r="C776" s="10" t="n"/>
      <c r="D776" s="10" t="n"/>
      <c r="E776" s="10" t="n"/>
      <c r="F776" s="13" t="n"/>
      <c r="G776" s="10" t="n"/>
      <c r="H776" s="10" t="n"/>
      <c r="I776" s="10" t="n"/>
      <c r="J776" s="10" t="n"/>
      <c r="K776" s="10">
        <f>IF(A776="","",TEXT(A776,"yyyy-mm"))</f>
        <v/>
      </c>
      <c r="L776" s="10">
        <f>IF(A776="","",WEEKNUM(A776))</f>
        <v/>
      </c>
      <c r="M776" s="10">
        <f>IF(A776="","",IF(COUNTIFS(A:A,A776,B:B,B776,F:F,F776)&gt;1,"⚠ Possible Duplicate",""))</f>
        <v/>
      </c>
      <c r="N776" s="10" t="n"/>
    </row>
    <row r="777">
      <c r="A777" s="10" t="n"/>
      <c r="B777" s="10" t="n"/>
      <c r="C777" s="10" t="n"/>
      <c r="D777" s="10" t="n"/>
      <c r="E777" s="10" t="n"/>
      <c r="F777" s="13" t="n"/>
      <c r="G777" s="10" t="n"/>
      <c r="H777" s="10" t="n"/>
      <c r="I777" s="10" t="n"/>
      <c r="J777" s="10" t="n"/>
      <c r="K777" s="10">
        <f>IF(A777="","",TEXT(A777,"yyyy-mm"))</f>
        <v/>
      </c>
      <c r="L777" s="10">
        <f>IF(A777="","",WEEKNUM(A777))</f>
        <v/>
      </c>
      <c r="M777" s="10">
        <f>IF(A777="","",IF(COUNTIFS(A:A,A777,B:B,B777,F:F,F777)&gt;1,"⚠ Possible Duplicate",""))</f>
        <v/>
      </c>
      <c r="N777" s="10" t="n"/>
    </row>
    <row r="778">
      <c r="A778" s="10" t="n"/>
      <c r="B778" s="10" t="n"/>
      <c r="C778" s="10" t="n"/>
      <c r="D778" s="10" t="n"/>
      <c r="E778" s="10" t="n"/>
      <c r="F778" s="13" t="n"/>
      <c r="G778" s="10" t="n"/>
      <c r="H778" s="10" t="n"/>
      <c r="I778" s="10" t="n"/>
      <c r="J778" s="10" t="n"/>
      <c r="K778" s="10">
        <f>IF(A778="","",TEXT(A778,"yyyy-mm"))</f>
        <v/>
      </c>
      <c r="L778" s="10">
        <f>IF(A778="","",WEEKNUM(A778))</f>
        <v/>
      </c>
      <c r="M778" s="10">
        <f>IF(A778="","",IF(COUNTIFS(A:A,A778,B:B,B778,F:F,F778)&gt;1,"⚠ Possible Duplicate",""))</f>
        <v/>
      </c>
      <c r="N778" s="10" t="n"/>
    </row>
    <row r="779">
      <c r="A779" s="10" t="n"/>
      <c r="B779" s="10" t="n"/>
      <c r="C779" s="10" t="n"/>
      <c r="D779" s="10" t="n"/>
      <c r="E779" s="10" t="n"/>
      <c r="F779" s="13" t="n"/>
      <c r="G779" s="10" t="n"/>
      <c r="H779" s="10" t="n"/>
      <c r="I779" s="10" t="n"/>
      <c r="J779" s="10" t="n"/>
      <c r="K779" s="10">
        <f>IF(A779="","",TEXT(A779,"yyyy-mm"))</f>
        <v/>
      </c>
      <c r="L779" s="10">
        <f>IF(A779="","",WEEKNUM(A779))</f>
        <v/>
      </c>
      <c r="M779" s="10">
        <f>IF(A779="","",IF(COUNTIFS(A:A,A779,B:B,B779,F:F,F779)&gt;1,"⚠ Possible Duplicate",""))</f>
        <v/>
      </c>
      <c r="N779" s="10" t="n"/>
    </row>
    <row r="780">
      <c r="A780" s="10" t="n"/>
      <c r="B780" s="10" t="n"/>
      <c r="C780" s="10" t="n"/>
      <c r="D780" s="10" t="n"/>
      <c r="E780" s="10" t="n"/>
      <c r="F780" s="13" t="n"/>
      <c r="G780" s="10" t="n"/>
      <c r="H780" s="10" t="n"/>
      <c r="I780" s="10" t="n"/>
      <c r="J780" s="10" t="n"/>
      <c r="K780" s="10">
        <f>IF(A780="","",TEXT(A780,"yyyy-mm"))</f>
        <v/>
      </c>
      <c r="L780" s="10">
        <f>IF(A780="","",WEEKNUM(A780))</f>
        <v/>
      </c>
      <c r="M780" s="10">
        <f>IF(A780="","",IF(COUNTIFS(A:A,A780,B:B,B780,F:F,F780)&gt;1,"⚠ Possible Duplicate",""))</f>
        <v/>
      </c>
      <c r="N780" s="10" t="n"/>
    </row>
    <row r="781">
      <c r="A781" s="10" t="n"/>
      <c r="B781" s="10" t="n"/>
      <c r="C781" s="10" t="n"/>
      <c r="D781" s="10" t="n"/>
      <c r="E781" s="10" t="n"/>
      <c r="F781" s="13" t="n"/>
      <c r="G781" s="10" t="n"/>
      <c r="H781" s="10" t="n"/>
      <c r="I781" s="10" t="n"/>
      <c r="J781" s="10" t="n"/>
      <c r="K781" s="10">
        <f>IF(A781="","",TEXT(A781,"yyyy-mm"))</f>
        <v/>
      </c>
      <c r="L781" s="10">
        <f>IF(A781="","",WEEKNUM(A781))</f>
        <v/>
      </c>
      <c r="M781" s="10">
        <f>IF(A781="","",IF(COUNTIFS(A:A,A781,B:B,B781,F:F,F781)&gt;1,"⚠ Possible Duplicate",""))</f>
        <v/>
      </c>
      <c r="N781" s="10" t="n"/>
    </row>
    <row r="782">
      <c r="A782" s="10" t="n"/>
      <c r="B782" s="10" t="n"/>
      <c r="C782" s="10" t="n"/>
      <c r="D782" s="10" t="n"/>
      <c r="E782" s="10" t="n"/>
      <c r="F782" s="13" t="n"/>
      <c r="G782" s="10" t="n"/>
      <c r="H782" s="10" t="n"/>
      <c r="I782" s="10" t="n"/>
      <c r="J782" s="10" t="n"/>
      <c r="K782" s="10">
        <f>IF(A782="","",TEXT(A782,"yyyy-mm"))</f>
        <v/>
      </c>
      <c r="L782" s="10">
        <f>IF(A782="","",WEEKNUM(A782))</f>
        <v/>
      </c>
      <c r="M782" s="10">
        <f>IF(A782="","",IF(COUNTIFS(A:A,A782,B:B,B782,F:F,F782)&gt;1,"⚠ Possible Duplicate",""))</f>
        <v/>
      </c>
      <c r="N782" s="10" t="n"/>
    </row>
    <row r="783">
      <c r="A783" s="10" t="n"/>
      <c r="B783" s="10" t="n"/>
      <c r="C783" s="10" t="n"/>
      <c r="D783" s="10" t="n"/>
      <c r="E783" s="10" t="n"/>
      <c r="F783" s="13" t="n"/>
      <c r="G783" s="10" t="n"/>
      <c r="H783" s="10" t="n"/>
      <c r="I783" s="10" t="n"/>
      <c r="J783" s="10" t="n"/>
      <c r="K783" s="10">
        <f>IF(A783="","",TEXT(A783,"yyyy-mm"))</f>
        <v/>
      </c>
      <c r="L783" s="10">
        <f>IF(A783="","",WEEKNUM(A783))</f>
        <v/>
      </c>
      <c r="M783" s="10">
        <f>IF(A783="","",IF(COUNTIFS(A:A,A783,B:B,B783,F:F,F783)&gt;1,"⚠ Possible Duplicate",""))</f>
        <v/>
      </c>
      <c r="N783" s="10" t="n"/>
    </row>
    <row r="784">
      <c r="A784" s="10" t="n"/>
      <c r="B784" s="10" t="n"/>
      <c r="C784" s="10" t="n"/>
      <c r="D784" s="10" t="n"/>
      <c r="E784" s="10" t="n"/>
      <c r="F784" s="13" t="n"/>
      <c r="G784" s="10" t="n"/>
      <c r="H784" s="10" t="n"/>
      <c r="I784" s="10" t="n"/>
      <c r="J784" s="10" t="n"/>
      <c r="K784" s="10">
        <f>IF(A784="","",TEXT(A784,"yyyy-mm"))</f>
        <v/>
      </c>
      <c r="L784" s="10">
        <f>IF(A784="","",WEEKNUM(A784))</f>
        <v/>
      </c>
      <c r="M784" s="10">
        <f>IF(A784="","",IF(COUNTIFS(A:A,A784,B:B,B784,F:F,F784)&gt;1,"⚠ Possible Duplicate",""))</f>
        <v/>
      </c>
      <c r="N784" s="10" t="n"/>
    </row>
    <row r="785">
      <c r="A785" s="10" t="n"/>
      <c r="B785" s="10" t="n"/>
      <c r="C785" s="10" t="n"/>
      <c r="D785" s="10" t="n"/>
      <c r="E785" s="10" t="n"/>
      <c r="F785" s="13" t="n"/>
      <c r="G785" s="10" t="n"/>
      <c r="H785" s="10" t="n"/>
      <c r="I785" s="10" t="n"/>
      <c r="J785" s="10" t="n"/>
      <c r="K785" s="10">
        <f>IF(A785="","",TEXT(A785,"yyyy-mm"))</f>
        <v/>
      </c>
      <c r="L785" s="10">
        <f>IF(A785="","",WEEKNUM(A785))</f>
        <v/>
      </c>
      <c r="M785" s="10">
        <f>IF(A785="","",IF(COUNTIFS(A:A,A785,B:B,B785,F:F,F785)&gt;1,"⚠ Possible Duplicate",""))</f>
        <v/>
      </c>
      <c r="N785" s="10" t="n"/>
    </row>
    <row r="786">
      <c r="A786" s="10" t="n"/>
      <c r="B786" s="10" t="n"/>
      <c r="C786" s="10" t="n"/>
      <c r="D786" s="10" t="n"/>
      <c r="E786" s="10" t="n"/>
      <c r="F786" s="13" t="n"/>
      <c r="G786" s="10" t="n"/>
      <c r="H786" s="10" t="n"/>
      <c r="I786" s="10" t="n"/>
      <c r="J786" s="10" t="n"/>
      <c r="K786" s="10">
        <f>IF(A786="","",TEXT(A786,"yyyy-mm"))</f>
        <v/>
      </c>
      <c r="L786" s="10">
        <f>IF(A786="","",WEEKNUM(A786))</f>
        <v/>
      </c>
      <c r="M786" s="10">
        <f>IF(A786="","",IF(COUNTIFS(A:A,A786,B:B,B786,F:F,F786)&gt;1,"⚠ Possible Duplicate",""))</f>
        <v/>
      </c>
      <c r="N786" s="10" t="n"/>
    </row>
    <row r="787">
      <c r="A787" s="10" t="n"/>
      <c r="B787" s="10" t="n"/>
      <c r="C787" s="10" t="n"/>
      <c r="D787" s="10" t="n"/>
      <c r="E787" s="10" t="n"/>
      <c r="F787" s="13" t="n"/>
      <c r="G787" s="10" t="n"/>
      <c r="H787" s="10" t="n"/>
      <c r="I787" s="10" t="n"/>
      <c r="J787" s="10" t="n"/>
      <c r="K787" s="10">
        <f>IF(A787="","",TEXT(A787,"yyyy-mm"))</f>
        <v/>
      </c>
      <c r="L787" s="10">
        <f>IF(A787="","",WEEKNUM(A787))</f>
        <v/>
      </c>
      <c r="M787" s="10">
        <f>IF(A787="","",IF(COUNTIFS(A:A,A787,B:B,B787,F:F,F787)&gt;1,"⚠ Possible Duplicate",""))</f>
        <v/>
      </c>
      <c r="N787" s="10" t="n"/>
    </row>
    <row r="788">
      <c r="A788" s="10" t="n"/>
      <c r="B788" s="10" t="n"/>
      <c r="C788" s="10" t="n"/>
      <c r="D788" s="10" t="n"/>
      <c r="E788" s="10" t="n"/>
      <c r="F788" s="13" t="n"/>
      <c r="G788" s="10" t="n"/>
      <c r="H788" s="10" t="n"/>
      <c r="I788" s="10" t="n"/>
      <c r="J788" s="10" t="n"/>
      <c r="K788" s="10">
        <f>IF(A788="","",TEXT(A788,"yyyy-mm"))</f>
        <v/>
      </c>
      <c r="L788" s="10">
        <f>IF(A788="","",WEEKNUM(A788))</f>
        <v/>
      </c>
      <c r="M788" s="10">
        <f>IF(A788="","",IF(COUNTIFS(A:A,A788,B:B,B788,F:F,F788)&gt;1,"⚠ Possible Duplicate",""))</f>
        <v/>
      </c>
      <c r="N788" s="10" t="n"/>
    </row>
    <row r="789">
      <c r="A789" s="10" t="n"/>
      <c r="B789" s="10" t="n"/>
      <c r="C789" s="10" t="n"/>
      <c r="D789" s="10" t="n"/>
      <c r="E789" s="10" t="n"/>
      <c r="F789" s="13" t="n"/>
      <c r="G789" s="10" t="n"/>
      <c r="H789" s="10" t="n"/>
      <c r="I789" s="10" t="n"/>
      <c r="J789" s="10" t="n"/>
      <c r="K789" s="10">
        <f>IF(A789="","",TEXT(A789,"yyyy-mm"))</f>
        <v/>
      </c>
      <c r="L789" s="10">
        <f>IF(A789="","",WEEKNUM(A789))</f>
        <v/>
      </c>
      <c r="M789" s="10">
        <f>IF(A789="","",IF(COUNTIFS(A:A,A789,B:B,B789,F:F,F789)&gt;1,"⚠ Possible Duplicate",""))</f>
        <v/>
      </c>
      <c r="N789" s="10" t="n"/>
    </row>
    <row r="790">
      <c r="A790" s="10" t="n"/>
      <c r="B790" s="10" t="n"/>
      <c r="C790" s="10" t="n"/>
      <c r="D790" s="10" t="n"/>
      <c r="E790" s="10" t="n"/>
      <c r="F790" s="13" t="n"/>
      <c r="G790" s="10" t="n"/>
      <c r="H790" s="10" t="n"/>
      <c r="I790" s="10" t="n"/>
      <c r="J790" s="10" t="n"/>
      <c r="K790" s="10">
        <f>IF(A790="","",TEXT(A790,"yyyy-mm"))</f>
        <v/>
      </c>
      <c r="L790" s="10">
        <f>IF(A790="","",WEEKNUM(A790))</f>
        <v/>
      </c>
      <c r="M790" s="10">
        <f>IF(A790="","",IF(COUNTIFS(A:A,A790,B:B,B790,F:F,F790)&gt;1,"⚠ Possible Duplicate",""))</f>
        <v/>
      </c>
      <c r="N790" s="10" t="n"/>
    </row>
    <row r="791">
      <c r="A791" s="10" t="n"/>
      <c r="B791" s="10" t="n"/>
      <c r="C791" s="10" t="n"/>
      <c r="D791" s="10" t="n"/>
      <c r="E791" s="10" t="n"/>
      <c r="F791" s="13" t="n"/>
      <c r="G791" s="10" t="n"/>
      <c r="H791" s="10" t="n"/>
      <c r="I791" s="10" t="n"/>
      <c r="J791" s="10" t="n"/>
      <c r="K791" s="10">
        <f>IF(A791="","",TEXT(A791,"yyyy-mm"))</f>
        <v/>
      </c>
      <c r="L791" s="10">
        <f>IF(A791="","",WEEKNUM(A791))</f>
        <v/>
      </c>
      <c r="M791" s="10">
        <f>IF(A791="","",IF(COUNTIFS(A:A,A791,B:B,B791,F:F,F791)&gt;1,"⚠ Possible Duplicate",""))</f>
        <v/>
      </c>
      <c r="N791" s="10" t="n"/>
    </row>
    <row r="792">
      <c r="A792" s="10" t="n"/>
      <c r="B792" s="10" t="n"/>
      <c r="C792" s="10" t="n"/>
      <c r="D792" s="10" t="n"/>
      <c r="E792" s="10" t="n"/>
      <c r="F792" s="13" t="n"/>
      <c r="G792" s="10" t="n"/>
      <c r="H792" s="10" t="n"/>
      <c r="I792" s="10" t="n"/>
      <c r="J792" s="10" t="n"/>
      <c r="K792" s="10">
        <f>IF(A792="","",TEXT(A792,"yyyy-mm"))</f>
        <v/>
      </c>
      <c r="L792" s="10">
        <f>IF(A792="","",WEEKNUM(A792))</f>
        <v/>
      </c>
      <c r="M792" s="10">
        <f>IF(A792="","",IF(COUNTIFS(A:A,A792,B:B,B792,F:F,F792)&gt;1,"⚠ Possible Duplicate",""))</f>
        <v/>
      </c>
      <c r="N792" s="10" t="n"/>
    </row>
    <row r="793">
      <c r="A793" s="10" t="n"/>
      <c r="B793" s="10" t="n"/>
      <c r="C793" s="10" t="n"/>
      <c r="D793" s="10" t="n"/>
      <c r="E793" s="10" t="n"/>
      <c r="F793" s="13" t="n"/>
      <c r="G793" s="10" t="n"/>
      <c r="H793" s="10" t="n"/>
      <c r="I793" s="10" t="n"/>
      <c r="J793" s="10" t="n"/>
      <c r="K793" s="10">
        <f>IF(A793="","",TEXT(A793,"yyyy-mm"))</f>
        <v/>
      </c>
      <c r="L793" s="10">
        <f>IF(A793="","",WEEKNUM(A793))</f>
        <v/>
      </c>
      <c r="M793" s="10">
        <f>IF(A793="","",IF(COUNTIFS(A:A,A793,B:B,B793,F:F,F793)&gt;1,"⚠ Possible Duplicate",""))</f>
        <v/>
      </c>
      <c r="N793" s="10" t="n"/>
    </row>
    <row r="794">
      <c r="A794" s="10" t="n"/>
      <c r="B794" s="10" t="n"/>
      <c r="C794" s="10" t="n"/>
      <c r="D794" s="10" t="n"/>
      <c r="E794" s="10" t="n"/>
      <c r="F794" s="13" t="n"/>
      <c r="G794" s="10" t="n"/>
      <c r="H794" s="10" t="n"/>
      <c r="I794" s="10" t="n"/>
      <c r="J794" s="10" t="n"/>
      <c r="K794" s="10">
        <f>IF(A794="","",TEXT(A794,"yyyy-mm"))</f>
        <v/>
      </c>
      <c r="L794" s="10">
        <f>IF(A794="","",WEEKNUM(A794))</f>
        <v/>
      </c>
      <c r="M794" s="10">
        <f>IF(A794="","",IF(COUNTIFS(A:A,A794,B:B,B794,F:F,F794)&gt;1,"⚠ Possible Duplicate",""))</f>
        <v/>
      </c>
      <c r="N794" s="10" t="n"/>
    </row>
    <row r="795">
      <c r="A795" s="10" t="n"/>
      <c r="B795" s="10" t="n"/>
      <c r="C795" s="10" t="n"/>
      <c r="D795" s="10" t="n"/>
      <c r="E795" s="10" t="n"/>
      <c r="F795" s="13" t="n"/>
      <c r="G795" s="10" t="n"/>
      <c r="H795" s="10" t="n"/>
      <c r="I795" s="10" t="n"/>
      <c r="J795" s="10" t="n"/>
      <c r="K795" s="10">
        <f>IF(A795="","",TEXT(A795,"yyyy-mm"))</f>
        <v/>
      </c>
      <c r="L795" s="10">
        <f>IF(A795="","",WEEKNUM(A795))</f>
        <v/>
      </c>
      <c r="M795" s="10">
        <f>IF(A795="","",IF(COUNTIFS(A:A,A795,B:B,B795,F:F,F795)&gt;1,"⚠ Possible Duplicate",""))</f>
        <v/>
      </c>
      <c r="N795" s="10" t="n"/>
    </row>
    <row r="796">
      <c r="A796" s="10" t="n"/>
      <c r="B796" s="10" t="n"/>
      <c r="C796" s="10" t="n"/>
      <c r="D796" s="10" t="n"/>
      <c r="E796" s="10" t="n"/>
      <c r="F796" s="13" t="n"/>
      <c r="G796" s="10" t="n"/>
      <c r="H796" s="10" t="n"/>
      <c r="I796" s="10" t="n"/>
      <c r="J796" s="10" t="n"/>
      <c r="K796" s="10">
        <f>IF(A796="","",TEXT(A796,"yyyy-mm"))</f>
        <v/>
      </c>
      <c r="L796" s="10">
        <f>IF(A796="","",WEEKNUM(A796))</f>
        <v/>
      </c>
      <c r="M796" s="10">
        <f>IF(A796="","",IF(COUNTIFS(A:A,A796,B:B,B796,F:F,F796)&gt;1,"⚠ Possible Duplicate",""))</f>
        <v/>
      </c>
      <c r="N796" s="10" t="n"/>
    </row>
    <row r="797">
      <c r="A797" s="10" t="n"/>
      <c r="B797" s="10" t="n"/>
      <c r="C797" s="10" t="n"/>
      <c r="D797" s="10" t="n"/>
      <c r="E797" s="10" t="n"/>
      <c r="F797" s="13" t="n"/>
      <c r="G797" s="10" t="n"/>
      <c r="H797" s="10" t="n"/>
      <c r="I797" s="10" t="n"/>
      <c r="J797" s="10" t="n"/>
      <c r="K797" s="10">
        <f>IF(A797="","",TEXT(A797,"yyyy-mm"))</f>
        <v/>
      </c>
      <c r="L797" s="10">
        <f>IF(A797="","",WEEKNUM(A797))</f>
        <v/>
      </c>
      <c r="M797" s="10">
        <f>IF(A797="","",IF(COUNTIFS(A:A,A797,B:B,B797,F:F,F797)&gt;1,"⚠ Possible Duplicate",""))</f>
        <v/>
      </c>
      <c r="N797" s="10" t="n"/>
    </row>
    <row r="798">
      <c r="A798" s="10" t="n"/>
      <c r="B798" s="10" t="n"/>
      <c r="C798" s="10" t="n"/>
      <c r="D798" s="10" t="n"/>
      <c r="E798" s="10" t="n"/>
      <c r="F798" s="13" t="n"/>
      <c r="G798" s="10" t="n"/>
      <c r="H798" s="10" t="n"/>
      <c r="I798" s="10" t="n"/>
      <c r="J798" s="10" t="n"/>
      <c r="K798" s="10">
        <f>IF(A798="","",TEXT(A798,"yyyy-mm"))</f>
        <v/>
      </c>
      <c r="L798" s="10">
        <f>IF(A798="","",WEEKNUM(A798))</f>
        <v/>
      </c>
      <c r="M798" s="10">
        <f>IF(A798="","",IF(COUNTIFS(A:A,A798,B:B,B798,F:F,F798)&gt;1,"⚠ Possible Duplicate",""))</f>
        <v/>
      </c>
      <c r="N798" s="10" t="n"/>
    </row>
    <row r="799">
      <c r="A799" s="10" t="n"/>
      <c r="B799" s="10" t="n"/>
      <c r="C799" s="10" t="n"/>
      <c r="D799" s="10" t="n"/>
      <c r="E799" s="10" t="n"/>
      <c r="F799" s="13" t="n"/>
      <c r="G799" s="10" t="n"/>
      <c r="H799" s="10" t="n"/>
      <c r="I799" s="10" t="n"/>
      <c r="J799" s="10" t="n"/>
      <c r="K799" s="10">
        <f>IF(A799="","",TEXT(A799,"yyyy-mm"))</f>
        <v/>
      </c>
      <c r="L799" s="10">
        <f>IF(A799="","",WEEKNUM(A799))</f>
        <v/>
      </c>
      <c r="M799" s="10">
        <f>IF(A799="","",IF(COUNTIFS(A:A,A799,B:B,B799,F:F,F799)&gt;1,"⚠ Possible Duplicate",""))</f>
        <v/>
      </c>
      <c r="N799" s="10" t="n"/>
    </row>
    <row r="800">
      <c r="A800" s="10" t="n"/>
      <c r="B800" s="10" t="n"/>
      <c r="C800" s="10" t="n"/>
      <c r="D800" s="10" t="n"/>
      <c r="E800" s="10" t="n"/>
      <c r="F800" s="13" t="n"/>
      <c r="G800" s="10" t="n"/>
      <c r="H800" s="10" t="n"/>
      <c r="I800" s="10" t="n"/>
      <c r="J800" s="10" t="n"/>
      <c r="K800" s="10">
        <f>IF(A800="","",TEXT(A800,"yyyy-mm"))</f>
        <v/>
      </c>
      <c r="L800" s="10">
        <f>IF(A800="","",WEEKNUM(A800))</f>
        <v/>
      </c>
      <c r="M800" s="10">
        <f>IF(A800="","",IF(COUNTIFS(A:A,A800,B:B,B800,F:F,F800)&gt;1,"⚠ Possible Duplicate",""))</f>
        <v/>
      </c>
      <c r="N800" s="10" t="n"/>
    </row>
    <row r="801">
      <c r="A801" s="10" t="n"/>
      <c r="B801" s="10" t="n"/>
      <c r="C801" s="10" t="n"/>
      <c r="D801" s="10" t="n"/>
      <c r="E801" s="10" t="n"/>
      <c r="F801" s="13" t="n"/>
      <c r="G801" s="10" t="n"/>
      <c r="H801" s="10" t="n"/>
      <c r="I801" s="10" t="n"/>
      <c r="J801" s="10" t="n"/>
      <c r="K801" s="10">
        <f>IF(A801="","",TEXT(A801,"yyyy-mm"))</f>
        <v/>
      </c>
      <c r="L801" s="10">
        <f>IF(A801="","",WEEKNUM(A801))</f>
        <v/>
      </c>
      <c r="M801" s="10">
        <f>IF(A801="","",IF(COUNTIFS(A:A,A801,B:B,B801,F:F,F801)&gt;1,"⚠ Possible Duplicate",""))</f>
        <v/>
      </c>
      <c r="N801" s="10" t="n"/>
    </row>
    <row r="802">
      <c r="A802" s="10" t="n"/>
      <c r="B802" s="10" t="n"/>
      <c r="C802" s="10" t="n"/>
      <c r="D802" s="10" t="n"/>
      <c r="E802" s="10" t="n"/>
      <c r="F802" s="13" t="n"/>
      <c r="G802" s="10" t="n"/>
      <c r="H802" s="10" t="n"/>
      <c r="I802" s="10" t="n"/>
      <c r="J802" s="10" t="n"/>
      <c r="K802" s="10">
        <f>IF(A802="","",TEXT(A802,"yyyy-mm"))</f>
        <v/>
      </c>
      <c r="L802" s="10">
        <f>IF(A802="","",WEEKNUM(A802))</f>
        <v/>
      </c>
      <c r="M802" s="10">
        <f>IF(A802="","",IF(COUNTIFS(A:A,A802,B:B,B802,F:F,F802)&gt;1,"⚠ Possible Duplicate",""))</f>
        <v/>
      </c>
      <c r="N802" s="10" t="n"/>
    </row>
    <row r="803">
      <c r="A803" s="10" t="n"/>
      <c r="B803" s="10" t="n"/>
      <c r="C803" s="10" t="n"/>
      <c r="D803" s="10" t="n"/>
      <c r="E803" s="10" t="n"/>
      <c r="F803" s="13" t="n"/>
      <c r="G803" s="10" t="n"/>
      <c r="H803" s="10" t="n"/>
      <c r="I803" s="10" t="n"/>
      <c r="J803" s="10" t="n"/>
      <c r="K803" s="10">
        <f>IF(A803="","",TEXT(A803,"yyyy-mm"))</f>
        <v/>
      </c>
      <c r="L803" s="10">
        <f>IF(A803="","",WEEKNUM(A803))</f>
        <v/>
      </c>
      <c r="M803" s="10">
        <f>IF(A803="","",IF(COUNTIFS(A:A,A803,B:B,B803,F:F,F803)&gt;1,"⚠ Possible Duplicate",""))</f>
        <v/>
      </c>
      <c r="N803" s="10" t="n"/>
    </row>
    <row r="804">
      <c r="A804" s="10" t="n"/>
      <c r="B804" s="10" t="n"/>
      <c r="C804" s="10" t="n"/>
      <c r="D804" s="10" t="n"/>
      <c r="E804" s="10" t="n"/>
      <c r="F804" s="13" t="n"/>
      <c r="G804" s="10" t="n"/>
      <c r="H804" s="10" t="n"/>
      <c r="I804" s="10" t="n"/>
      <c r="J804" s="10" t="n"/>
      <c r="K804" s="10">
        <f>IF(A804="","",TEXT(A804,"yyyy-mm"))</f>
        <v/>
      </c>
      <c r="L804" s="10">
        <f>IF(A804="","",WEEKNUM(A804))</f>
        <v/>
      </c>
      <c r="M804" s="10">
        <f>IF(A804="","",IF(COUNTIFS(A:A,A804,B:B,B804,F:F,F804)&gt;1,"⚠ Possible Duplicate",""))</f>
        <v/>
      </c>
      <c r="N804" s="10" t="n"/>
    </row>
    <row r="805">
      <c r="A805" s="10" t="n"/>
      <c r="B805" s="10" t="n"/>
      <c r="C805" s="10" t="n"/>
      <c r="D805" s="10" t="n"/>
      <c r="E805" s="10" t="n"/>
      <c r="F805" s="13" t="n"/>
      <c r="G805" s="10" t="n"/>
      <c r="H805" s="10" t="n"/>
      <c r="I805" s="10" t="n"/>
      <c r="J805" s="10" t="n"/>
      <c r="K805" s="10">
        <f>IF(A805="","",TEXT(A805,"yyyy-mm"))</f>
        <v/>
      </c>
      <c r="L805" s="10">
        <f>IF(A805="","",WEEKNUM(A805))</f>
        <v/>
      </c>
      <c r="M805" s="10">
        <f>IF(A805="","",IF(COUNTIFS(A:A,A805,B:B,B805,F:F,F805)&gt;1,"⚠ Possible Duplicate",""))</f>
        <v/>
      </c>
      <c r="N805" s="10" t="n"/>
    </row>
    <row r="806">
      <c r="A806" s="10" t="n"/>
      <c r="B806" s="10" t="n"/>
      <c r="C806" s="10" t="n"/>
      <c r="D806" s="10" t="n"/>
      <c r="E806" s="10" t="n"/>
      <c r="F806" s="13" t="n"/>
      <c r="G806" s="10" t="n"/>
      <c r="H806" s="10" t="n"/>
      <c r="I806" s="10" t="n"/>
      <c r="J806" s="10" t="n"/>
      <c r="K806" s="10">
        <f>IF(A806="","",TEXT(A806,"yyyy-mm"))</f>
        <v/>
      </c>
      <c r="L806" s="10">
        <f>IF(A806="","",WEEKNUM(A806))</f>
        <v/>
      </c>
      <c r="M806" s="10">
        <f>IF(A806="","",IF(COUNTIFS(A:A,A806,B:B,B806,F:F,F806)&gt;1,"⚠ Possible Duplicate",""))</f>
        <v/>
      </c>
      <c r="N806" s="10" t="n"/>
    </row>
    <row r="807">
      <c r="A807" s="10" t="n"/>
      <c r="B807" s="10" t="n"/>
      <c r="C807" s="10" t="n"/>
      <c r="D807" s="10" t="n"/>
      <c r="E807" s="10" t="n"/>
      <c r="F807" s="13" t="n"/>
      <c r="G807" s="10" t="n"/>
      <c r="H807" s="10" t="n"/>
      <c r="I807" s="10" t="n"/>
      <c r="J807" s="10" t="n"/>
      <c r="K807" s="10">
        <f>IF(A807="","",TEXT(A807,"yyyy-mm"))</f>
        <v/>
      </c>
      <c r="L807" s="10">
        <f>IF(A807="","",WEEKNUM(A807))</f>
        <v/>
      </c>
      <c r="M807" s="10">
        <f>IF(A807="","",IF(COUNTIFS(A:A,A807,B:B,B807,F:F,F807)&gt;1,"⚠ Possible Duplicate",""))</f>
        <v/>
      </c>
      <c r="N807" s="10" t="n"/>
    </row>
    <row r="808">
      <c r="A808" s="10" t="n"/>
      <c r="B808" s="10" t="n"/>
      <c r="C808" s="10" t="n"/>
      <c r="D808" s="10" t="n"/>
      <c r="E808" s="10" t="n"/>
      <c r="F808" s="13" t="n"/>
      <c r="G808" s="10" t="n"/>
      <c r="H808" s="10" t="n"/>
      <c r="I808" s="10" t="n"/>
      <c r="J808" s="10" t="n"/>
      <c r="K808" s="10">
        <f>IF(A808="","",TEXT(A808,"yyyy-mm"))</f>
        <v/>
      </c>
      <c r="L808" s="10">
        <f>IF(A808="","",WEEKNUM(A808))</f>
        <v/>
      </c>
      <c r="M808" s="10">
        <f>IF(A808="","",IF(COUNTIFS(A:A,A808,B:B,B808,F:F,F808)&gt;1,"⚠ Possible Duplicate",""))</f>
        <v/>
      </c>
      <c r="N808" s="10" t="n"/>
    </row>
    <row r="809">
      <c r="A809" s="10" t="n"/>
      <c r="B809" s="10" t="n"/>
      <c r="C809" s="10" t="n"/>
      <c r="D809" s="10" t="n"/>
      <c r="E809" s="10" t="n"/>
      <c r="F809" s="13" t="n"/>
      <c r="G809" s="10" t="n"/>
      <c r="H809" s="10" t="n"/>
      <c r="I809" s="10" t="n"/>
      <c r="J809" s="10" t="n"/>
      <c r="K809" s="10">
        <f>IF(A809="","",TEXT(A809,"yyyy-mm"))</f>
        <v/>
      </c>
      <c r="L809" s="10">
        <f>IF(A809="","",WEEKNUM(A809))</f>
        <v/>
      </c>
      <c r="M809" s="10">
        <f>IF(A809="","",IF(COUNTIFS(A:A,A809,B:B,B809,F:F,F809)&gt;1,"⚠ Possible Duplicate",""))</f>
        <v/>
      </c>
      <c r="N809" s="10" t="n"/>
    </row>
    <row r="810">
      <c r="A810" s="10" t="n"/>
      <c r="B810" s="10" t="n"/>
      <c r="C810" s="10" t="n"/>
      <c r="D810" s="10" t="n"/>
      <c r="E810" s="10" t="n"/>
      <c r="F810" s="13" t="n"/>
      <c r="G810" s="10" t="n"/>
      <c r="H810" s="10" t="n"/>
      <c r="I810" s="10" t="n"/>
      <c r="J810" s="10" t="n"/>
      <c r="K810" s="10">
        <f>IF(A810="","",TEXT(A810,"yyyy-mm"))</f>
        <v/>
      </c>
      <c r="L810" s="10">
        <f>IF(A810="","",WEEKNUM(A810))</f>
        <v/>
      </c>
      <c r="M810" s="10">
        <f>IF(A810="","",IF(COUNTIFS(A:A,A810,B:B,B810,F:F,F810)&gt;1,"⚠ Possible Duplicate",""))</f>
        <v/>
      </c>
      <c r="N810" s="10" t="n"/>
    </row>
    <row r="811">
      <c r="A811" s="10" t="n"/>
      <c r="B811" s="10" t="n"/>
      <c r="C811" s="10" t="n"/>
      <c r="D811" s="10" t="n"/>
      <c r="E811" s="10" t="n"/>
      <c r="F811" s="13" t="n"/>
      <c r="G811" s="10" t="n"/>
      <c r="H811" s="10" t="n"/>
      <c r="I811" s="10" t="n"/>
      <c r="J811" s="10" t="n"/>
      <c r="K811" s="10">
        <f>IF(A811="","",TEXT(A811,"yyyy-mm"))</f>
        <v/>
      </c>
      <c r="L811" s="10">
        <f>IF(A811="","",WEEKNUM(A811))</f>
        <v/>
      </c>
      <c r="M811" s="10">
        <f>IF(A811="","",IF(COUNTIFS(A:A,A811,B:B,B811,F:F,F811)&gt;1,"⚠ Possible Duplicate",""))</f>
        <v/>
      </c>
      <c r="N811" s="10" t="n"/>
    </row>
    <row r="812">
      <c r="A812" s="10" t="n"/>
      <c r="B812" s="10" t="n"/>
      <c r="C812" s="10" t="n"/>
      <c r="D812" s="10" t="n"/>
      <c r="E812" s="10" t="n"/>
      <c r="F812" s="13" t="n"/>
      <c r="G812" s="10" t="n"/>
      <c r="H812" s="10" t="n"/>
      <c r="I812" s="10" t="n"/>
      <c r="J812" s="10" t="n"/>
      <c r="K812" s="10">
        <f>IF(A812="","",TEXT(A812,"yyyy-mm"))</f>
        <v/>
      </c>
      <c r="L812" s="10">
        <f>IF(A812="","",WEEKNUM(A812))</f>
        <v/>
      </c>
      <c r="M812" s="10">
        <f>IF(A812="","",IF(COUNTIFS(A:A,A812,B:B,B812,F:F,F812)&gt;1,"⚠ Possible Duplicate",""))</f>
        <v/>
      </c>
      <c r="N812" s="10" t="n"/>
    </row>
    <row r="813">
      <c r="A813" s="10" t="n"/>
      <c r="B813" s="10" t="n"/>
      <c r="C813" s="10" t="n"/>
      <c r="D813" s="10" t="n"/>
      <c r="E813" s="10" t="n"/>
      <c r="F813" s="13" t="n"/>
      <c r="G813" s="10" t="n"/>
      <c r="H813" s="10" t="n"/>
      <c r="I813" s="10" t="n"/>
      <c r="J813" s="10" t="n"/>
      <c r="K813" s="10">
        <f>IF(A813="","",TEXT(A813,"yyyy-mm"))</f>
        <v/>
      </c>
      <c r="L813" s="10">
        <f>IF(A813="","",WEEKNUM(A813))</f>
        <v/>
      </c>
      <c r="M813" s="10">
        <f>IF(A813="","",IF(COUNTIFS(A:A,A813,B:B,B813,F:F,F813)&gt;1,"⚠ Possible Duplicate",""))</f>
        <v/>
      </c>
      <c r="N813" s="10" t="n"/>
    </row>
    <row r="814">
      <c r="A814" s="10" t="n"/>
      <c r="B814" s="10" t="n"/>
      <c r="C814" s="10" t="n"/>
      <c r="D814" s="10" t="n"/>
      <c r="E814" s="10" t="n"/>
      <c r="F814" s="13" t="n"/>
      <c r="G814" s="10" t="n"/>
      <c r="H814" s="10" t="n"/>
      <c r="I814" s="10" t="n"/>
      <c r="J814" s="10" t="n"/>
      <c r="K814" s="10">
        <f>IF(A814="","",TEXT(A814,"yyyy-mm"))</f>
        <v/>
      </c>
      <c r="L814" s="10">
        <f>IF(A814="","",WEEKNUM(A814))</f>
        <v/>
      </c>
      <c r="M814" s="10">
        <f>IF(A814="","",IF(COUNTIFS(A:A,A814,B:B,B814,F:F,F814)&gt;1,"⚠ Possible Duplicate",""))</f>
        <v/>
      </c>
      <c r="N814" s="10" t="n"/>
    </row>
    <row r="815">
      <c r="A815" s="10" t="n"/>
      <c r="B815" s="10" t="n"/>
      <c r="C815" s="10" t="n"/>
      <c r="D815" s="10" t="n"/>
      <c r="E815" s="10" t="n"/>
      <c r="F815" s="13" t="n"/>
      <c r="G815" s="10" t="n"/>
      <c r="H815" s="10" t="n"/>
      <c r="I815" s="10" t="n"/>
      <c r="J815" s="10" t="n"/>
      <c r="K815" s="10">
        <f>IF(A815="","",TEXT(A815,"yyyy-mm"))</f>
        <v/>
      </c>
      <c r="L815" s="10">
        <f>IF(A815="","",WEEKNUM(A815))</f>
        <v/>
      </c>
      <c r="M815" s="10">
        <f>IF(A815="","",IF(COUNTIFS(A:A,A815,B:B,B815,F:F,F815)&gt;1,"⚠ Possible Duplicate",""))</f>
        <v/>
      </c>
      <c r="N815" s="10" t="n"/>
    </row>
    <row r="816">
      <c r="A816" s="10" t="n"/>
      <c r="B816" s="10" t="n"/>
      <c r="C816" s="10" t="n"/>
      <c r="D816" s="10" t="n"/>
      <c r="E816" s="10" t="n"/>
      <c r="F816" s="13" t="n"/>
      <c r="G816" s="10" t="n"/>
      <c r="H816" s="10" t="n"/>
      <c r="I816" s="10" t="n"/>
      <c r="J816" s="10" t="n"/>
      <c r="K816" s="10">
        <f>IF(A816="","",TEXT(A816,"yyyy-mm"))</f>
        <v/>
      </c>
      <c r="L816" s="10">
        <f>IF(A816="","",WEEKNUM(A816))</f>
        <v/>
      </c>
      <c r="M816" s="10">
        <f>IF(A816="","",IF(COUNTIFS(A:A,A816,B:B,B816,F:F,F816)&gt;1,"⚠ Possible Duplicate",""))</f>
        <v/>
      </c>
      <c r="N816" s="10" t="n"/>
    </row>
    <row r="817">
      <c r="A817" s="10" t="n"/>
      <c r="B817" s="10" t="n"/>
      <c r="C817" s="10" t="n"/>
      <c r="D817" s="10" t="n"/>
      <c r="E817" s="10" t="n"/>
      <c r="F817" s="13" t="n"/>
      <c r="G817" s="10" t="n"/>
      <c r="H817" s="10" t="n"/>
      <c r="I817" s="10" t="n"/>
      <c r="J817" s="10" t="n"/>
      <c r="K817" s="10">
        <f>IF(A817="","",TEXT(A817,"yyyy-mm"))</f>
        <v/>
      </c>
      <c r="L817" s="10">
        <f>IF(A817="","",WEEKNUM(A817))</f>
        <v/>
      </c>
      <c r="M817" s="10">
        <f>IF(A817="","",IF(COUNTIFS(A:A,A817,B:B,B817,F:F,F817)&gt;1,"⚠ Possible Duplicate",""))</f>
        <v/>
      </c>
      <c r="N817" s="10" t="n"/>
    </row>
    <row r="818">
      <c r="A818" s="10" t="n"/>
      <c r="B818" s="10" t="n"/>
      <c r="C818" s="10" t="n"/>
      <c r="D818" s="10" t="n"/>
      <c r="E818" s="10" t="n"/>
      <c r="F818" s="13" t="n"/>
      <c r="G818" s="10" t="n"/>
      <c r="H818" s="10" t="n"/>
      <c r="I818" s="10" t="n"/>
      <c r="J818" s="10" t="n"/>
      <c r="K818" s="10">
        <f>IF(A818="","",TEXT(A818,"yyyy-mm"))</f>
        <v/>
      </c>
      <c r="L818" s="10">
        <f>IF(A818="","",WEEKNUM(A818))</f>
        <v/>
      </c>
      <c r="M818" s="10">
        <f>IF(A818="","",IF(COUNTIFS(A:A,A818,B:B,B818,F:F,F818)&gt;1,"⚠ Possible Duplicate",""))</f>
        <v/>
      </c>
      <c r="N818" s="10" t="n"/>
    </row>
    <row r="819">
      <c r="A819" s="10" t="n"/>
      <c r="B819" s="10" t="n"/>
      <c r="C819" s="10" t="n"/>
      <c r="D819" s="10" t="n"/>
      <c r="E819" s="10" t="n"/>
      <c r="F819" s="13" t="n"/>
      <c r="G819" s="10" t="n"/>
      <c r="H819" s="10" t="n"/>
      <c r="I819" s="10" t="n"/>
      <c r="J819" s="10" t="n"/>
      <c r="K819" s="10">
        <f>IF(A819="","",TEXT(A819,"yyyy-mm"))</f>
        <v/>
      </c>
      <c r="L819" s="10">
        <f>IF(A819="","",WEEKNUM(A819))</f>
        <v/>
      </c>
      <c r="M819" s="10">
        <f>IF(A819="","",IF(COUNTIFS(A:A,A819,B:B,B819,F:F,F819)&gt;1,"⚠ Possible Duplicate",""))</f>
        <v/>
      </c>
      <c r="N819" s="10" t="n"/>
    </row>
    <row r="820">
      <c r="A820" s="10" t="n"/>
      <c r="B820" s="10" t="n"/>
      <c r="C820" s="10" t="n"/>
      <c r="D820" s="10" t="n"/>
      <c r="E820" s="10" t="n"/>
      <c r="F820" s="13" t="n"/>
      <c r="G820" s="10" t="n"/>
      <c r="H820" s="10" t="n"/>
      <c r="I820" s="10" t="n"/>
      <c r="J820" s="10" t="n"/>
      <c r="K820" s="10">
        <f>IF(A820="","",TEXT(A820,"yyyy-mm"))</f>
        <v/>
      </c>
      <c r="L820" s="10">
        <f>IF(A820="","",WEEKNUM(A820))</f>
        <v/>
      </c>
      <c r="M820" s="10">
        <f>IF(A820="","",IF(COUNTIFS(A:A,A820,B:B,B820,F:F,F820)&gt;1,"⚠ Possible Duplicate",""))</f>
        <v/>
      </c>
      <c r="N820" s="10" t="n"/>
    </row>
    <row r="821">
      <c r="A821" s="10" t="n"/>
      <c r="B821" s="10" t="n"/>
      <c r="C821" s="10" t="n"/>
      <c r="D821" s="10" t="n"/>
      <c r="E821" s="10" t="n"/>
      <c r="F821" s="13" t="n"/>
      <c r="G821" s="10" t="n"/>
      <c r="H821" s="10" t="n"/>
      <c r="I821" s="10" t="n"/>
      <c r="J821" s="10" t="n"/>
      <c r="K821" s="10">
        <f>IF(A821="","",TEXT(A821,"yyyy-mm"))</f>
        <v/>
      </c>
      <c r="L821" s="10">
        <f>IF(A821="","",WEEKNUM(A821))</f>
        <v/>
      </c>
      <c r="M821" s="10">
        <f>IF(A821="","",IF(COUNTIFS(A:A,A821,B:B,B821,F:F,F821)&gt;1,"⚠ Possible Duplicate",""))</f>
        <v/>
      </c>
      <c r="N821" s="10" t="n"/>
    </row>
    <row r="822">
      <c r="A822" s="10" t="n"/>
      <c r="B822" s="10" t="n"/>
      <c r="C822" s="10" t="n"/>
      <c r="D822" s="10" t="n"/>
      <c r="E822" s="10" t="n"/>
      <c r="F822" s="13" t="n"/>
      <c r="G822" s="10" t="n"/>
      <c r="H822" s="10" t="n"/>
      <c r="I822" s="10" t="n"/>
      <c r="J822" s="10" t="n"/>
      <c r="K822" s="10">
        <f>IF(A822="","",TEXT(A822,"yyyy-mm"))</f>
        <v/>
      </c>
      <c r="L822" s="10">
        <f>IF(A822="","",WEEKNUM(A822))</f>
        <v/>
      </c>
      <c r="M822" s="10">
        <f>IF(A822="","",IF(COUNTIFS(A:A,A822,B:B,B822,F:F,F822)&gt;1,"⚠ Possible Duplicate",""))</f>
        <v/>
      </c>
      <c r="N822" s="10" t="n"/>
    </row>
    <row r="823">
      <c r="A823" s="10" t="n"/>
      <c r="B823" s="10" t="n"/>
      <c r="C823" s="10" t="n"/>
      <c r="D823" s="10" t="n"/>
      <c r="E823" s="10" t="n"/>
      <c r="F823" s="13" t="n"/>
      <c r="G823" s="10" t="n"/>
      <c r="H823" s="10" t="n"/>
      <c r="I823" s="10" t="n"/>
      <c r="J823" s="10" t="n"/>
      <c r="K823" s="10">
        <f>IF(A823="","",TEXT(A823,"yyyy-mm"))</f>
        <v/>
      </c>
      <c r="L823" s="10">
        <f>IF(A823="","",WEEKNUM(A823))</f>
        <v/>
      </c>
      <c r="M823" s="10">
        <f>IF(A823="","",IF(COUNTIFS(A:A,A823,B:B,B823,F:F,F823)&gt;1,"⚠ Possible Duplicate",""))</f>
        <v/>
      </c>
      <c r="N823" s="10" t="n"/>
    </row>
    <row r="824">
      <c r="A824" s="10" t="n"/>
      <c r="B824" s="10" t="n"/>
      <c r="C824" s="10" t="n"/>
      <c r="D824" s="10" t="n"/>
      <c r="E824" s="10" t="n"/>
      <c r="F824" s="13" t="n"/>
      <c r="G824" s="10" t="n"/>
      <c r="H824" s="10" t="n"/>
      <c r="I824" s="10" t="n"/>
      <c r="J824" s="10" t="n"/>
      <c r="K824" s="10">
        <f>IF(A824="","",TEXT(A824,"yyyy-mm"))</f>
        <v/>
      </c>
      <c r="L824" s="10">
        <f>IF(A824="","",WEEKNUM(A824))</f>
        <v/>
      </c>
      <c r="M824" s="10">
        <f>IF(A824="","",IF(COUNTIFS(A:A,A824,B:B,B824,F:F,F824)&gt;1,"⚠ Possible Duplicate",""))</f>
        <v/>
      </c>
      <c r="N824" s="10" t="n"/>
    </row>
    <row r="825">
      <c r="A825" s="10" t="n"/>
      <c r="B825" s="10" t="n"/>
      <c r="C825" s="10" t="n"/>
      <c r="D825" s="10" t="n"/>
      <c r="E825" s="10" t="n"/>
      <c r="F825" s="13" t="n"/>
      <c r="G825" s="10" t="n"/>
      <c r="H825" s="10" t="n"/>
      <c r="I825" s="10" t="n"/>
      <c r="J825" s="10" t="n"/>
      <c r="K825" s="10">
        <f>IF(A825="","",TEXT(A825,"yyyy-mm"))</f>
        <v/>
      </c>
      <c r="L825" s="10">
        <f>IF(A825="","",WEEKNUM(A825))</f>
        <v/>
      </c>
      <c r="M825" s="10">
        <f>IF(A825="","",IF(COUNTIFS(A:A,A825,B:B,B825,F:F,F825)&gt;1,"⚠ Possible Duplicate",""))</f>
        <v/>
      </c>
      <c r="N825" s="10" t="n"/>
    </row>
    <row r="826">
      <c r="A826" s="10" t="n"/>
      <c r="B826" s="10" t="n"/>
      <c r="C826" s="10" t="n"/>
      <c r="D826" s="10" t="n"/>
      <c r="E826" s="10" t="n"/>
      <c r="F826" s="13" t="n"/>
      <c r="G826" s="10" t="n"/>
      <c r="H826" s="10" t="n"/>
      <c r="I826" s="10" t="n"/>
      <c r="J826" s="10" t="n"/>
      <c r="K826" s="10">
        <f>IF(A826="","",TEXT(A826,"yyyy-mm"))</f>
        <v/>
      </c>
      <c r="L826" s="10">
        <f>IF(A826="","",WEEKNUM(A826))</f>
        <v/>
      </c>
      <c r="M826" s="10">
        <f>IF(A826="","",IF(COUNTIFS(A:A,A826,B:B,B826,F:F,F826)&gt;1,"⚠ Possible Duplicate",""))</f>
        <v/>
      </c>
      <c r="N826" s="10" t="n"/>
    </row>
    <row r="827">
      <c r="A827" s="10" t="n"/>
      <c r="B827" s="10" t="n"/>
      <c r="C827" s="10" t="n"/>
      <c r="D827" s="10" t="n"/>
      <c r="E827" s="10" t="n"/>
      <c r="F827" s="13" t="n"/>
      <c r="G827" s="10" t="n"/>
      <c r="H827" s="10" t="n"/>
      <c r="I827" s="10" t="n"/>
      <c r="J827" s="10" t="n"/>
      <c r="K827" s="10">
        <f>IF(A827="","",TEXT(A827,"yyyy-mm"))</f>
        <v/>
      </c>
      <c r="L827" s="10">
        <f>IF(A827="","",WEEKNUM(A827))</f>
        <v/>
      </c>
      <c r="M827" s="10">
        <f>IF(A827="","",IF(COUNTIFS(A:A,A827,B:B,B827,F:F,F827)&gt;1,"⚠ Possible Duplicate",""))</f>
        <v/>
      </c>
      <c r="N827" s="10" t="n"/>
    </row>
    <row r="828">
      <c r="A828" s="10" t="n"/>
      <c r="B828" s="10" t="n"/>
      <c r="C828" s="10" t="n"/>
      <c r="D828" s="10" t="n"/>
      <c r="E828" s="10" t="n"/>
      <c r="F828" s="13" t="n"/>
      <c r="G828" s="10" t="n"/>
      <c r="H828" s="10" t="n"/>
      <c r="I828" s="10" t="n"/>
      <c r="J828" s="10" t="n"/>
      <c r="K828" s="10">
        <f>IF(A828="","",TEXT(A828,"yyyy-mm"))</f>
        <v/>
      </c>
      <c r="L828" s="10">
        <f>IF(A828="","",WEEKNUM(A828))</f>
        <v/>
      </c>
      <c r="M828" s="10">
        <f>IF(A828="","",IF(COUNTIFS(A:A,A828,B:B,B828,F:F,F828)&gt;1,"⚠ Possible Duplicate",""))</f>
        <v/>
      </c>
      <c r="N828" s="10" t="n"/>
    </row>
    <row r="829">
      <c r="A829" s="10" t="n"/>
      <c r="B829" s="10" t="n"/>
      <c r="C829" s="10" t="n"/>
      <c r="D829" s="10" t="n"/>
      <c r="E829" s="10" t="n"/>
      <c r="F829" s="13" t="n"/>
      <c r="G829" s="10" t="n"/>
      <c r="H829" s="10" t="n"/>
      <c r="I829" s="10" t="n"/>
      <c r="J829" s="10" t="n"/>
      <c r="K829" s="10">
        <f>IF(A829="","",TEXT(A829,"yyyy-mm"))</f>
        <v/>
      </c>
      <c r="L829" s="10">
        <f>IF(A829="","",WEEKNUM(A829))</f>
        <v/>
      </c>
      <c r="M829" s="10">
        <f>IF(A829="","",IF(COUNTIFS(A:A,A829,B:B,B829,F:F,F829)&gt;1,"⚠ Possible Duplicate",""))</f>
        <v/>
      </c>
      <c r="N829" s="10" t="n"/>
    </row>
    <row r="830">
      <c r="A830" s="10" t="n"/>
      <c r="B830" s="10" t="n"/>
      <c r="C830" s="10" t="n"/>
      <c r="D830" s="10" t="n"/>
      <c r="E830" s="10" t="n"/>
      <c r="F830" s="13" t="n"/>
      <c r="G830" s="10" t="n"/>
      <c r="H830" s="10" t="n"/>
      <c r="I830" s="10" t="n"/>
      <c r="J830" s="10" t="n"/>
      <c r="K830" s="10">
        <f>IF(A830="","",TEXT(A830,"yyyy-mm"))</f>
        <v/>
      </c>
      <c r="L830" s="10">
        <f>IF(A830="","",WEEKNUM(A830))</f>
        <v/>
      </c>
      <c r="M830" s="10">
        <f>IF(A830="","",IF(COUNTIFS(A:A,A830,B:B,B830,F:F,F830)&gt;1,"⚠ Possible Duplicate",""))</f>
        <v/>
      </c>
      <c r="N830" s="10" t="n"/>
    </row>
    <row r="831">
      <c r="A831" s="10" t="n"/>
      <c r="B831" s="10" t="n"/>
      <c r="C831" s="10" t="n"/>
      <c r="D831" s="10" t="n"/>
      <c r="E831" s="10" t="n"/>
      <c r="F831" s="13" t="n"/>
      <c r="G831" s="10" t="n"/>
      <c r="H831" s="10" t="n"/>
      <c r="I831" s="10" t="n"/>
      <c r="J831" s="10" t="n"/>
      <c r="K831" s="10">
        <f>IF(A831="","",TEXT(A831,"yyyy-mm"))</f>
        <v/>
      </c>
      <c r="L831" s="10">
        <f>IF(A831="","",WEEKNUM(A831))</f>
        <v/>
      </c>
      <c r="M831" s="10">
        <f>IF(A831="","",IF(COUNTIFS(A:A,A831,B:B,B831,F:F,F831)&gt;1,"⚠ Possible Duplicate",""))</f>
        <v/>
      </c>
      <c r="N831" s="10" t="n"/>
    </row>
    <row r="832">
      <c r="A832" s="10" t="n"/>
      <c r="B832" s="10" t="n"/>
      <c r="C832" s="10" t="n"/>
      <c r="D832" s="10" t="n"/>
      <c r="E832" s="10" t="n"/>
      <c r="F832" s="13" t="n"/>
      <c r="G832" s="10" t="n"/>
      <c r="H832" s="10" t="n"/>
      <c r="I832" s="10" t="n"/>
      <c r="J832" s="10" t="n"/>
      <c r="K832" s="10">
        <f>IF(A832="","",TEXT(A832,"yyyy-mm"))</f>
        <v/>
      </c>
      <c r="L832" s="10">
        <f>IF(A832="","",WEEKNUM(A832))</f>
        <v/>
      </c>
      <c r="M832" s="10">
        <f>IF(A832="","",IF(COUNTIFS(A:A,A832,B:B,B832,F:F,F832)&gt;1,"⚠ Possible Duplicate",""))</f>
        <v/>
      </c>
      <c r="N832" s="10" t="n"/>
    </row>
    <row r="833">
      <c r="A833" s="10" t="n"/>
      <c r="B833" s="10" t="n"/>
      <c r="C833" s="10" t="n"/>
      <c r="D833" s="10" t="n"/>
      <c r="E833" s="10" t="n"/>
      <c r="F833" s="13" t="n"/>
      <c r="G833" s="10" t="n"/>
      <c r="H833" s="10" t="n"/>
      <c r="I833" s="10" t="n"/>
      <c r="J833" s="10" t="n"/>
      <c r="K833" s="10">
        <f>IF(A833="","",TEXT(A833,"yyyy-mm"))</f>
        <v/>
      </c>
      <c r="L833" s="10">
        <f>IF(A833="","",WEEKNUM(A833))</f>
        <v/>
      </c>
      <c r="M833" s="10">
        <f>IF(A833="","",IF(COUNTIFS(A:A,A833,B:B,B833,F:F,F833)&gt;1,"⚠ Possible Duplicate",""))</f>
        <v/>
      </c>
      <c r="N833" s="10" t="n"/>
    </row>
    <row r="834">
      <c r="A834" s="10" t="n"/>
      <c r="B834" s="10" t="n"/>
      <c r="C834" s="10" t="n"/>
      <c r="D834" s="10" t="n"/>
      <c r="E834" s="10" t="n"/>
      <c r="F834" s="13" t="n"/>
      <c r="G834" s="10" t="n"/>
      <c r="H834" s="10" t="n"/>
      <c r="I834" s="10" t="n"/>
      <c r="J834" s="10" t="n"/>
      <c r="K834" s="10">
        <f>IF(A834="","",TEXT(A834,"yyyy-mm"))</f>
        <v/>
      </c>
      <c r="L834" s="10">
        <f>IF(A834="","",WEEKNUM(A834))</f>
        <v/>
      </c>
      <c r="M834" s="10">
        <f>IF(A834="","",IF(COUNTIFS(A:A,A834,B:B,B834,F:F,F834)&gt;1,"⚠ Possible Duplicate",""))</f>
        <v/>
      </c>
      <c r="N834" s="10" t="n"/>
    </row>
    <row r="835">
      <c r="A835" s="10" t="n"/>
      <c r="B835" s="10" t="n"/>
      <c r="C835" s="10" t="n"/>
      <c r="D835" s="10" t="n"/>
      <c r="E835" s="10" t="n"/>
      <c r="F835" s="13" t="n"/>
      <c r="G835" s="10" t="n"/>
      <c r="H835" s="10" t="n"/>
      <c r="I835" s="10" t="n"/>
      <c r="J835" s="10" t="n"/>
      <c r="K835" s="10">
        <f>IF(A835="","",TEXT(A835,"yyyy-mm"))</f>
        <v/>
      </c>
      <c r="L835" s="10">
        <f>IF(A835="","",WEEKNUM(A835))</f>
        <v/>
      </c>
      <c r="M835" s="10">
        <f>IF(A835="","",IF(COUNTIFS(A:A,A835,B:B,B835,F:F,F835)&gt;1,"⚠ Possible Duplicate",""))</f>
        <v/>
      </c>
      <c r="N835" s="10" t="n"/>
    </row>
    <row r="836">
      <c r="A836" s="10" t="n"/>
      <c r="B836" s="10" t="n"/>
      <c r="C836" s="10" t="n"/>
      <c r="D836" s="10" t="n"/>
      <c r="E836" s="10" t="n"/>
      <c r="F836" s="13" t="n"/>
      <c r="G836" s="10" t="n"/>
      <c r="H836" s="10" t="n"/>
      <c r="I836" s="10" t="n"/>
      <c r="J836" s="10" t="n"/>
      <c r="K836" s="10">
        <f>IF(A836="","",TEXT(A836,"yyyy-mm"))</f>
        <v/>
      </c>
      <c r="L836" s="10">
        <f>IF(A836="","",WEEKNUM(A836))</f>
        <v/>
      </c>
      <c r="M836" s="10">
        <f>IF(A836="","",IF(COUNTIFS(A:A,A836,B:B,B836,F:F,F836)&gt;1,"⚠ Possible Duplicate",""))</f>
        <v/>
      </c>
      <c r="N836" s="10" t="n"/>
    </row>
    <row r="837">
      <c r="A837" s="10" t="n"/>
      <c r="B837" s="10" t="n"/>
      <c r="C837" s="10" t="n"/>
      <c r="D837" s="10" t="n"/>
      <c r="E837" s="10" t="n"/>
      <c r="F837" s="13" t="n"/>
      <c r="G837" s="10" t="n"/>
      <c r="H837" s="10" t="n"/>
      <c r="I837" s="10" t="n"/>
      <c r="J837" s="10" t="n"/>
      <c r="K837" s="10">
        <f>IF(A837="","",TEXT(A837,"yyyy-mm"))</f>
        <v/>
      </c>
      <c r="L837" s="10">
        <f>IF(A837="","",WEEKNUM(A837))</f>
        <v/>
      </c>
      <c r="M837" s="10">
        <f>IF(A837="","",IF(COUNTIFS(A:A,A837,B:B,B837,F:F,F837)&gt;1,"⚠ Possible Duplicate",""))</f>
        <v/>
      </c>
      <c r="N837" s="10" t="n"/>
    </row>
    <row r="838">
      <c r="A838" s="10" t="n"/>
      <c r="B838" s="10" t="n"/>
      <c r="C838" s="10" t="n"/>
      <c r="D838" s="10" t="n"/>
      <c r="E838" s="10" t="n"/>
      <c r="F838" s="13" t="n"/>
      <c r="G838" s="10" t="n"/>
      <c r="H838" s="10" t="n"/>
      <c r="I838" s="10" t="n"/>
      <c r="J838" s="10" t="n"/>
      <c r="K838" s="10">
        <f>IF(A838="","",TEXT(A838,"yyyy-mm"))</f>
        <v/>
      </c>
      <c r="L838" s="10">
        <f>IF(A838="","",WEEKNUM(A838))</f>
        <v/>
      </c>
      <c r="M838" s="10">
        <f>IF(A838="","",IF(COUNTIFS(A:A,A838,B:B,B838,F:F,F838)&gt;1,"⚠ Possible Duplicate",""))</f>
        <v/>
      </c>
      <c r="N838" s="10" t="n"/>
    </row>
    <row r="839">
      <c r="A839" s="10" t="n"/>
      <c r="B839" s="10" t="n"/>
      <c r="C839" s="10" t="n"/>
      <c r="D839" s="10" t="n"/>
      <c r="E839" s="10" t="n"/>
      <c r="F839" s="13" t="n"/>
      <c r="G839" s="10" t="n"/>
      <c r="H839" s="10" t="n"/>
      <c r="I839" s="10" t="n"/>
      <c r="J839" s="10" t="n"/>
      <c r="K839" s="10">
        <f>IF(A839="","",TEXT(A839,"yyyy-mm"))</f>
        <v/>
      </c>
      <c r="L839" s="10">
        <f>IF(A839="","",WEEKNUM(A839))</f>
        <v/>
      </c>
      <c r="M839" s="10">
        <f>IF(A839="","",IF(COUNTIFS(A:A,A839,B:B,B839,F:F,F839)&gt;1,"⚠ Possible Duplicate",""))</f>
        <v/>
      </c>
      <c r="N839" s="10" t="n"/>
    </row>
    <row r="840">
      <c r="A840" s="10" t="n"/>
      <c r="B840" s="10" t="n"/>
      <c r="C840" s="10" t="n"/>
      <c r="D840" s="10" t="n"/>
      <c r="E840" s="10" t="n"/>
      <c r="F840" s="13" t="n"/>
      <c r="G840" s="10" t="n"/>
      <c r="H840" s="10" t="n"/>
      <c r="I840" s="10" t="n"/>
      <c r="J840" s="10" t="n"/>
      <c r="K840" s="10">
        <f>IF(A840="","",TEXT(A840,"yyyy-mm"))</f>
        <v/>
      </c>
      <c r="L840" s="10">
        <f>IF(A840="","",WEEKNUM(A840))</f>
        <v/>
      </c>
      <c r="M840" s="10">
        <f>IF(A840="","",IF(COUNTIFS(A:A,A840,B:B,B840,F:F,F840)&gt;1,"⚠ Possible Duplicate",""))</f>
        <v/>
      </c>
      <c r="N840" s="10" t="n"/>
    </row>
    <row r="841">
      <c r="A841" s="10" t="n"/>
      <c r="B841" s="10" t="n"/>
      <c r="C841" s="10" t="n"/>
      <c r="D841" s="10" t="n"/>
      <c r="E841" s="10" t="n"/>
      <c r="F841" s="13" t="n"/>
      <c r="G841" s="10" t="n"/>
      <c r="H841" s="10" t="n"/>
      <c r="I841" s="10" t="n"/>
      <c r="J841" s="10" t="n"/>
      <c r="K841" s="10">
        <f>IF(A841="","",TEXT(A841,"yyyy-mm"))</f>
        <v/>
      </c>
      <c r="L841" s="10">
        <f>IF(A841="","",WEEKNUM(A841))</f>
        <v/>
      </c>
      <c r="M841" s="10">
        <f>IF(A841="","",IF(COUNTIFS(A:A,A841,B:B,B841,F:F,F841)&gt;1,"⚠ Possible Duplicate",""))</f>
        <v/>
      </c>
      <c r="N841" s="10" t="n"/>
    </row>
    <row r="842">
      <c r="A842" s="10" t="n"/>
      <c r="B842" s="10" t="n"/>
      <c r="C842" s="10" t="n"/>
      <c r="D842" s="10" t="n"/>
      <c r="E842" s="10" t="n"/>
      <c r="F842" s="13" t="n"/>
      <c r="G842" s="10" t="n"/>
      <c r="H842" s="10" t="n"/>
      <c r="I842" s="10" t="n"/>
      <c r="J842" s="10" t="n"/>
      <c r="K842" s="10">
        <f>IF(A842="","",TEXT(A842,"yyyy-mm"))</f>
        <v/>
      </c>
      <c r="L842" s="10">
        <f>IF(A842="","",WEEKNUM(A842))</f>
        <v/>
      </c>
      <c r="M842" s="10">
        <f>IF(A842="","",IF(COUNTIFS(A:A,A842,B:B,B842,F:F,F842)&gt;1,"⚠ Possible Duplicate",""))</f>
        <v/>
      </c>
      <c r="N842" s="10" t="n"/>
    </row>
    <row r="843">
      <c r="A843" s="10" t="n"/>
      <c r="B843" s="10" t="n"/>
      <c r="C843" s="10" t="n"/>
      <c r="D843" s="10" t="n"/>
      <c r="E843" s="10" t="n"/>
      <c r="F843" s="13" t="n"/>
      <c r="G843" s="10" t="n"/>
      <c r="H843" s="10" t="n"/>
      <c r="I843" s="10" t="n"/>
      <c r="J843" s="10" t="n"/>
      <c r="K843" s="10">
        <f>IF(A843="","",TEXT(A843,"yyyy-mm"))</f>
        <v/>
      </c>
      <c r="L843" s="10">
        <f>IF(A843="","",WEEKNUM(A843))</f>
        <v/>
      </c>
      <c r="M843" s="10">
        <f>IF(A843="","",IF(COUNTIFS(A:A,A843,B:B,B843,F:F,F843)&gt;1,"⚠ Possible Duplicate",""))</f>
        <v/>
      </c>
      <c r="N843" s="10" t="n"/>
    </row>
    <row r="844">
      <c r="A844" s="10" t="n"/>
      <c r="B844" s="10" t="n"/>
      <c r="C844" s="10" t="n"/>
      <c r="D844" s="10" t="n"/>
      <c r="E844" s="10" t="n"/>
      <c r="F844" s="13" t="n"/>
      <c r="G844" s="10" t="n"/>
      <c r="H844" s="10" t="n"/>
      <c r="I844" s="10" t="n"/>
      <c r="J844" s="10" t="n"/>
      <c r="K844" s="10">
        <f>IF(A844="","",TEXT(A844,"yyyy-mm"))</f>
        <v/>
      </c>
      <c r="L844" s="10">
        <f>IF(A844="","",WEEKNUM(A844))</f>
        <v/>
      </c>
      <c r="M844" s="10">
        <f>IF(A844="","",IF(COUNTIFS(A:A,A844,B:B,B844,F:F,F844)&gt;1,"⚠ Possible Duplicate",""))</f>
        <v/>
      </c>
      <c r="N844" s="10" t="n"/>
    </row>
    <row r="845">
      <c r="A845" s="10" t="n"/>
      <c r="B845" s="10" t="n"/>
      <c r="C845" s="10" t="n"/>
      <c r="D845" s="10" t="n"/>
      <c r="E845" s="10" t="n"/>
      <c r="F845" s="13" t="n"/>
      <c r="G845" s="10" t="n"/>
      <c r="H845" s="10" t="n"/>
      <c r="I845" s="10" t="n"/>
      <c r="J845" s="10" t="n"/>
      <c r="K845" s="10">
        <f>IF(A845="","",TEXT(A845,"yyyy-mm"))</f>
        <v/>
      </c>
      <c r="L845" s="10">
        <f>IF(A845="","",WEEKNUM(A845))</f>
        <v/>
      </c>
      <c r="M845" s="10">
        <f>IF(A845="","",IF(COUNTIFS(A:A,A845,B:B,B845,F:F,F845)&gt;1,"⚠ Possible Duplicate",""))</f>
        <v/>
      </c>
      <c r="N845" s="10" t="n"/>
    </row>
    <row r="846">
      <c r="A846" s="10" t="n"/>
      <c r="B846" s="10" t="n"/>
      <c r="C846" s="10" t="n"/>
      <c r="D846" s="10" t="n"/>
      <c r="E846" s="10" t="n"/>
      <c r="F846" s="13" t="n"/>
      <c r="G846" s="10" t="n"/>
      <c r="H846" s="10" t="n"/>
      <c r="I846" s="10" t="n"/>
      <c r="J846" s="10" t="n"/>
      <c r="K846" s="10">
        <f>IF(A846="","",TEXT(A846,"yyyy-mm"))</f>
        <v/>
      </c>
      <c r="L846" s="10">
        <f>IF(A846="","",WEEKNUM(A846))</f>
        <v/>
      </c>
      <c r="M846" s="10">
        <f>IF(A846="","",IF(COUNTIFS(A:A,A846,B:B,B846,F:F,F846)&gt;1,"⚠ Possible Duplicate",""))</f>
        <v/>
      </c>
      <c r="N846" s="10" t="n"/>
    </row>
    <row r="847">
      <c r="A847" s="10" t="n"/>
      <c r="B847" s="10" t="n"/>
      <c r="C847" s="10" t="n"/>
      <c r="D847" s="10" t="n"/>
      <c r="E847" s="10" t="n"/>
      <c r="F847" s="13" t="n"/>
      <c r="G847" s="10" t="n"/>
      <c r="H847" s="10" t="n"/>
      <c r="I847" s="10" t="n"/>
      <c r="J847" s="10" t="n"/>
      <c r="K847" s="10">
        <f>IF(A847="","",TEXT(A847,"yyyy-mm"))</f>
        <v/>
      </c>
      <c r="L847" s="10">
        <f>IF(A847="","",WEEKNUM(A847))</f>
        <v/>
      </c>
      <c r="M847" s="10">
        <f>IF(A847="","",IF(COUNTIFS(A:A,A847,B:B,B847,F:F,F847)&gt;1,"⚠ Possible Duplicate",""))</f>
        <v/>
      </c>
      <c r="N847" s="10" t="n"/>
    </row>
    <row r="848">
      <c r="A848" s="10" t="n"/>
      <c r="B848" s="10" t="n"/>
      <c r="C848" s="10" t="n"/>
      <c r="D848" s="10" t="n"/>
      <c r="E848" s="10" t="n"/>
      <c r="F848" s="13" t="n"/>
      <c r="G848" s="10" t="n"/>
      <c r="H848" s="10" t="n"/>
      <c r="I848" s="10" t="n"/>
      <c r="J848" s="10" t="n"/>
      <c r="K848" s="10">
        <f>IF(A848="","",TEXT(A848,"yyyy-mm"))</f>
        <v/>
      </c>
      <c r="L848" s="10">
        <f>IF(A848="","",WEEKNUM(A848))</f>
        <v/>
      </c>
      <c r="M848" s="10">
        <f>IF(A848="","",IF(COUNTIFS(A:A,A848,B:B,B848,F:F,F848)&gt;1,"⚠ Possible Duplicate",""))</f>
        <v/>
      </c>
      <c r="N848" s="10" t="n"/>
    </row>
    <row r="849">
      <c r="A849" s="10" t="n"/>
      <c r="B849" s="10" t="n"/>
      <c r="C849" s="10" t="n"/>
      <c r="D849" s="10" t="n"/>
      <c r="E849" s="10" t="n"/>
      <c r="F849" s="13" t="n"/>
      <c r="G849" s="10" t="n"/>
      <c r="H849" s="10" t="n"/>
      <c r="I849" s="10" t="n"/>
      <c r="J849" s="10" t="n"/>
      <c r="K849" s="10">
        <f>IF(A849="","",TEXT(A849,"yyyy-mm"))</f>
        <v/>
      </c>
      <c r="L849" s="10">
        <f>IF(A849="","",WEEKNUM(A849))</f>
        <v/>
      </c>
      <c r="M849" s="10">
        <f>IF(A849="","",IF(COUNTIFS(A:A,A849,B:B,B849,F:F,F849)&gt;1,"⚠ Possible Duplicate",""))</f>
        <v/>
      </c>
      <c r="N849" s="10" t="n"/>
    </row>
    <row r="850">
      <c r="A850" s="10" t="n"/>
      <c r="B850" s="10" t="n"/>
      <c r="C850" s="10" t="n"/>
      <c r="D850" s="10" t="n"/>
      <c r="E850" s="10" t="n"/>
      <c r="F850" s="13" t="n"/>
      <c r="G850" s="10" t="n"/>
      <c r="H850" s="10" t="n"/>
      <c r="I850" s="10" t="n"/>
      <c r="J850" s="10" t="n"/>
      <c r="K850" s="10">
        <f>IF(A850="","",TEXT(A850,"yyyy-mm"))</f>
        <v/>
      </c>
      <c r="L850" s="10">
        <f>IF(A850="","",WEEKNUM(A850))</f>
        <v/>
      </c>
      <c r="M850" s="10">
        <f>IF(A850="","",IF(COUNTIFS(A:A,A850,B:B,B850,F:F,F850)&gt;1,"⚠ Possible Duplicate",""))</f>
        <v/>
      </c>
      <c r="N850" s="10" t="n"/>
    </row>
    <row r="851">
      <c r="A851" s="10" t="n"/>
      <c r="B851" s="10" t="n"/>
      <c r="C851" s="10" t="n"/>
      <c r="D851" s="10" t="n"/>
      <c r="E851" s="10" t="n"/>
      <c r="F851" s="13" t="n"/>
      <c r="G851" s="10" t="n"/>
      <c r="H851" s="10" t="n"/>
      <c r="I851" s="10" t="n"/>
      <c r="J851" s="10" t="n"/>
      <c r="K851" s="10">
        <f>IF(A851="","",TEXT(A851,"yyyy-mm"))</f>
        <v/>
      </c>
      <c r="L851" s="10">
        <f>IF(A851="","",WEEKNUM(A851))</f>
        <v/>
      </c>
      <c r="M851" s="10">
        <f>IF(A851="","",IF(COUNTIFS(A:A,A851,B:B,B851,F:F,F851)&gt;1,"⚠ Possible Duplicate",""))</f>
        <v/>
      </c>
      <c r="N851" s="10" t="n"/>
    </row>
    <row r="852">
      <c r="A852" s="10" t="n"/>
      <c r="B852" s="10" t="n"/>
      <c r="C852" s="10" t="n"/>
      <c r="D852" s="10" t="n"/>
      <c r="E852" s="10" t="n"/>
      <c r="F852" s="13" t="n"/>
      <c r="G852" s="10" t="n"/>
      <c r="H852" s="10" t="n"/>
      <c r="I852" s="10" t="n"/>
      <c r="J852" s="10" t="n"/>
      <c r="K852" s="10">
        <f>IF(A852="","",TEXT(A852,"yyyy-mm"))</f>
        <v/>
      </c>
      <c r="L852" s="10">
        <f>IF(A852="","",WEEKNUM(A852))</f>
        <v/>
      </c>
      <c r="M852" s="10">
        <f>IF(A852="","",IF(COUNTIFS(A:A,A852,B:B,B852,F:F,F852)&gt;1,"⚠ Possible Duplicate",""))</f>
        <v/>
      </c>
      <c r="N852" s="10" t="n"/>
    </row>
    <row r="853">
      <c r="A853" s="10" t="n"/>
      <c r="B853" s="10" t="n"/>
      <c r="C853" s="10" t="n"/>
      <c r="D853" s="10" t="n"/>
      <c r="E853" s="10" t="n"/>
      <c r="F853" s="13" t="n"/>
      <c r="G853" s="10" t="n"/>
      <c r="H853" s="10" t="n"/>
      <c r="I853" s="10" t="n"/>
      <c r="J853" s="10" t="n"/>
      <c r="K853" s="10">
        <f>IF(A853="","",TEXT(A853,"yyyy-mm"))</f>
        <v/>
      </c>
      <c r="L853" s="10">
        <f>IF(A853="","",WEEKNUM(A853))</f>
        <v/>
      </c>
      <c r="M853" s="10">
        <f>IF(A853="","",IF(COUNTIFS(A:A,A853,B:B,B853,F:F,F853)&gt;1,"⚠ Possible Duplicate",""))</f>
        <v/>
      </c>
      <c r="N853" s="10" t="n"/>
    </row>
    <row r="854">
      <c r="A854" s="10" t="n"/>
      <c r="B854" s="10" t="n"/>
      <c r="C854" s="10" t="n"/>
      <c r="D854" s="10" t="n"/>
      <c r="E854" s="10" t="n"/>
      <c r="F854" s="13" t="n"/>
      <c r="G854" s="10" t="n"/>
      <c r="H854" s="10" t="n"/>
      <c r="I854" s="10" t="n"/>
      <c r="J854" s="10" t="n"/>
      <c r="K854" s="10">
        <f>IF(A854="","",TEXT(A854,"yyyy-mm"))</f>
        <v/>
      </c>
      <c r="L854" s="10">
        <f>IF(A854="","",WEEKNUM(A854))</f>
        <v/>
      </c>
      <c r="M854" s="10">
        <f>IF(A854="","",IF(COUNTIFS(A:A,A854,B:B,B854,F:F,F854)&gt;1,"⚠ Possible Duplicate",""))</f>
        <v/>
      </c>
      <c r="N854" s="10" t="n"/>
    </row>
    <row r="855">
      <c r="A855" s="10" t="n"/>
      <c r="B855" s="10" t="n"/>
      <c r="C855" s="10" t="n"/>
      <c r="D855" s="10" t="n"/>
      <c r="E855" s="10" t="n"/>
      <c r="F855" s="13" t="n"/>
      <c r="G855" s="10" t="n"/>
      <c r="H855" s="10" t="n"/>
      <c r="I855" s="10" t="n"/>
      <c r="J855" s="10" t="n"/>
      <c r="K855" s="10">
        <f>IF(A855="","",TEXT(A855,"yyyy-mm"))</f>
        <v/>
      </c>
      <c r="L855" s="10">
        <f>IF(A855="","",WEEKNUM(A855))</f>
        <v/>
      </c>
      <c r="M855" s="10">
        <f>IF(A855="","",IF(COUNTIFS(A:A,A855,B:B,B855,F:F,F855)&gt;1,"⚠ Possible Duplicate",""))</f>
        <v/>
      </c>
      <c r="N855" s="10" t="n"/>
    </row>
    <row r="856">
      <c r="A856" s="10" t="n"/>
      <c r="B856" s="10" t="n"/>
      <c r="C856" s="10" t="n"/>
      <c r="D856" s="10" t="n"/>
      <c r="E856" s="10" t="n"/>
      <c r="F856" s="13" t="n"/>
      <c r="G856" s="10" t="n"/>
      <c r="H856" s="10" t="n"/>
      <c r="I856" s="10" t="n"/>
      <c r="J856" s="10" t="n"/>
      <c r="K856" s="10">
        <f>IF(A856="","",TEXT(A856,"yyyy-mm"))</f>
        <v/>
      </c>
      <c r="L856" s="10">
        <f>IF(A856="","",WEEKNUM(A856))</f>
        <v/>
      </c>
      <c r="M856" s="10">
        <f>IF(A856="","",IF(COUNTIFS(A:A,A856,B:B,B856,F:F,F856)&gt;1,"⚠ Possible Duplicate",""))</f>
        <v/>
      </c>
      <c r="N856" s="10" t="n"/>
    </row>
    <row r="857">
      <c r="A857" s="10" t="n"/>
      <c r="B857" s="10" t="n"/>
      <c r="C857" s="10" t="n"/>
      <c r="D857" s="10" t="n"/>
      <c r="E857" s="10" t="n"/>
      <c r="F857" s="13" t="n"/>
      <c r="G857" s="10" t="n"/>
      <c r="H857" s="10" t="n"/>
      <c r="I857" s="10" t="n"/>
      <c r="J857" s="10" t="n"/>
      <c r="K857" s="10">
        <f>IF(A857="","",TEXT(A857,"yyyy-mm"))</f>
        <v/>
      </c>
      <c r="L857" s="10">
        <f>IF(A857="","",WEEKNUM(A857))</f>
        <v/>
      </c>
      <c r="M857" s="10">
        <f>IF(A857="","",IF(COUNTIFS(A:A,A857,B:B,B857,F:F,F857)&gt;1,"⚠ Possible Duplicate",""))</f>
        <v/>
      </c>
      <c r="N857" s="10" t="n"/>
    </row>
    <row r="858">
      <c r="A858" s="10" t="n"/>
      <c r="B858" s="10" t="n"/>
      <c r="C858" s="10" t="n"/>
      <c r="D858" s="10" t="n"/>
      <c r="E858" s="10" t="n"/>
      <c r="F858" s="13" t="n"/>
      <c r="G858" s="10" t="n"/>
      <c r="H858" s="10" t="n"/>
      <c r="I858" s="10" t="n"/>
      <c r="J858" s="10" t="n"/>
      <c r="K858" s="10">
        <f>IF(A858="","",TEXT(A858,"yyyy-mm"))</f>
        <v/>
      </c>
      <c r="L858" s="10">
        <f>IF(A858="","",WEEKNUM(A858))</f>
        <v/>
      </c>
      <c r="M858" s="10">
        <f>IF(A858="","",IF(COUNTIFS(A:A,A858,B:B,B858,F:F,F858)&gt;1,"⚠ Possible Duplicate",""))</f>
        <v/>
      </c>
      <c r="N858" s="10" t="n"/>
    </row>
    <row r="859">
      <c r="A859" s="10" t="n"/>
      <c r="B859" s="10" t="n"/>
      <c r="C859" s="10" t="n"/>
      <c r="D859" s="10" t="n"/>
      <c r="E859" s="10" t="n"/>
      <c r="F859" s="13" t="n"/>
      <c r="G859" s="10" t="n"/>
      <c r="H859" s="10" t="n"/>
      <c r="I859" s="10" t="n"/>
      <c r="J859" s="10" t="n"/>
      <c r="K859" s="10">
        <f>IF(A859="","",TEXT(A859,"yyyy-mm"))</f>
        <v/>
      </c>
      <c r="L859" s="10">
        <f>IF(A859="","",WEEKNUM(A859))</f>
        <v/>
      </c>
      <c r="M859" s="10">
        <f>IF(A859="","",IF(COUNTIFS(A:A,A859,B:B,B859,F:F,F859)&gt;1,"⚠ Possible Duplicate",""))</f>
        <v/>
      </c>
      <c r="N859" s="10" t="n"/>
    </row>
    <row r="860">
      <c r="A860" s="10" t="n"/>
      <c r="B860" s="10" t="n"/>
      <c r="C860" s="10" t="n"/>
      <c r="D860" s="10" t="n"/>
      <c r="E860" s="10" t="n"/>
      <c r="F860" s="13" t="n"/>
      <c r="G860" s="10" t="n"/>
      <c r="H860" s="10" t="n"/>
      <c r="I860" s="10" t="n"/>
      <c r="J860" s="10" t="n"/>
      <c r="K860" s="10">
        <f>IF(A860="","",TEXT(A860,"yyyy-mm"))</f>
        <v/>
      </c>
      <c r="L860" s="10">
        <f>IF(A860="","",WEEKNUM(A860))</f>
        <v/>
      </c>
      <c r="M860" s="10">
        <f>IF(A860="","",IF(COUNTIFS(A:A,A860,B:B,B860,F:F,F860)&gt;1,"⚠ Possible Duplicate",""))</f>
        <v/>
      </c>
      <c r="N860" s="10" t="n"/>
    </row>
    <row r="861">
      <c r="A861" s="10" t="n"/>
      <c r="B861" s="10" t="n"/>
      <c r="C861" s="10" t="n"/>
      <c r="D861" s="10" t="n"/>
      <c r="E861" s="10" t="n"/>
      <c r="F861" s="13" t="n"/>
      <c r="G861" s="10" t="n"/>
      <c r="H861" s="10" t="n"/>
      <c r="I861" s="10" t="n"/>
      <c r="J861" s="10" t="n"/>
      <c r="K861" s="10">
        <f>IF(A861="","",TEXT(A861,"yyyy-mm"))</f>
        <v/>
      </c>
      <c r="L861" s="10">
        <f>IF(A861="","",WEEKNUM(A861))</f>
        <v/>
      </c>
      <c r="M861" s="10">
        <f>IF(A861="","",IF(COUNTIFS(A:A,A861,B:B,B861,F:F,F861)&gt;1,"⚠ Possible Duplicate",""))</f>
        <v/>
      </c>
      <c r="N861" s="10" t="n"/>
    </row>
    <row r="862">
      <c r="A862" s="10" t="n"/>
      <c r="B862" s="10" t="n"/>
      <c r="C862" s="10" t="n"/>
      <c r="D862" s="10" t="n"/>
      <c r="E862" s="10" t="n"/>
      <c r="F862" s="13" t="n"/>
      <c r="G862" s="10" t="n"/>
      <c r="H862" s="10" t="n"/>
      <c r="I862" s="10" t="n"/>
      <c r="J862" s="10" t="n"/>
      <c r="K862" s="10">
        <f>IF(A862="","",TEXT(A862,"yyyy-mm"))</f>
        <v/>
      </c>
      <c r="L862" s="10">
        <f>IF(A862="","",WEEKNUM(A862))</f>
        <v/>
      </c>
      <c r="M862" s="10">
        <f>IF(A862="","",IF(COUNTIFS(A:A,A862,B:B,B862,F:F,F862)&gt;1,"⚠ Possible Duplicate",""))</f>
        <v/>
      </c>
      <c r="N862" s="10" t="n"/>
    </row>
    <row r="863">
      <c r="A863" s="10" t="n"/>
      <c r="B863" s="10" t="n"/>
      <c r="C863" s="10" t="n"/>
      <c r="D863" s="10" t="n"/>
      <c r="E863" s="10" t="n"/>
      <c r="F863" s="13" t="n"/>
      <c r="G863" s="10" t="n"/>
      <c r="H863" s="10" t="n"/>
      <c r="I863" s="10" t="n"/>
      <c r="J863" s="10" t="n"/>
      <c r="K863" s="10">
        <f>IF(A863="","",TEXT(A863,"yyyy-mm"))</f>
        <v/>
      </c>
      <c r="L863" s="10">
        <f>IF(A863="","",WEEKNUM(A863))</f>
        <v/>
      </c>
      <c r="M863" s="10">
        <f>IF(A863="","",IF(COUNTIFS(A:A,A863,B:B,B863,F:F,F863)&gt;1,"⚠ Possible Duplicate",""))</f>
        <v/>
      </c>
      <c r="N863" s="10" t="n"/>
    </row>
    <row r="864">
      <c r="A864" s="10" t="n"/>
      <c r="B864" s="10" t="n"/>
      <c r="C864" s="10" t="n"/>
      <c r="D864" s="10" t="n"/>
      <c r="E864" s="10" t="n"/>
      <c r="F864" s="13" t="n"/>
      <c r="G864" s="10" t="n"/>
      <c r="H864" s="10" t="n"/>
      <c r="I864" s="10" t="n"/>
      <c r="J864" s="10" t="n"/>
      <c r="K864" s="10">
        <f>IF(A864="","",TEXT(A864,"yyyy-mm"))</f>
        <v/>
      </c>
      <c r="L864" s="10">
        <f>IF(A864="","",WEEKNUM(A864))</f>
        <v/>
      </c>
      <c r="M864" s="10">
        <f>IF(A864="","",IF(COUNTIFS(A:A,A864,B:B,B864,F:F,F864)&gt;1,"⚠ Possible Duplicate",""))</f>
        <v/>
      </c>
      <c r="N864" s="10" t="n"/>
    </row>
    <row r="865">
      <c r="A865" s="10" t="n"/>
      <c r="B865" s="10" t="n"/>
      <c r="C865" s="10" t="n"/>
      <c r="D865" s="10" t="n"/>
      <c r="E865" s="10" t="n"/>
      <c r="F865" s="13" t="n"/>
      <c r="G865" s="10" t="n"/>
      <c r="H865" s="10" t="n"/>
      <c r="I865" s="10" t="n"/>
      <c r="J865" s="10" t="n"/>
      <c r="K865" s="10">
        <f>IF(A865="","",TEXT(A865,"yyyy-mm"))</f>
        <v/>
      </c>
      <c r="L865" s="10">
        <f>IF(A865="","",WEEKNUM(A865))</f>
        <v/>
      </c>
      <c r="M865" s="10">
        <f>IF(A865="","",IF(COUNTIFS(A:A,A865,B:B,B865,F:F,F865)&gt;1,"⚠ Possible Duplicate",""))</f>
        <v/>
      </c>
      <c r="N865" s="10" t="n"/>
    </row>
    <row r="866">
      <c r="A866" s="10" t="n"/>
      <c r="B866" s="10" t="n"/>
      <c r="C866" s="10" t="n"/>
      <c r="D866" s="10" t="n"/>
      <c r="E866" s="10" t="n"/>
      <c r="F866" s="13" t="n"/>
      <c r="G866" s="10" t="n"/>
      <c r="H866" s="10" t="n"/>
      <c r="I866" s="10" t="n"/>
      <c r="J866" s="10" t="n"/>
      <c r="K866" s="10">
        <f>IF(A866="","",TEXT(A866,"yyyy-mm"))</f>
        <v/>
      </c>
      <c r="L866" s="10">
        <f>IF(A866="","",WEEKNUM(A866))</f>
        <v/>
      </c>
      <c r="M866" s="10">
        <f>IF(A866="","",IF(COUNTIFS(A:A,A866,B:B,B866,F:F,F866)&gt;1,"⚠ Possible Duplicate",""))</f>
        <v/>
      </c>
      <c r="N866" s="10" t="n"/>
    </row>
    <row r="867">
      <c r="A867" s="10" t="n"/>
      <c r="B867" s="10" t="n"/>
      <c r="C867" s="10" t="n"/>
      <c r="D867" s="10" t="n"/>
      <c r="E867" s="10" t="n"/>
      <c r="F867" s="13" t="n"/>
      <c r="G867" s="10" t="n"/>
      <c r="H867" s="10" t="n"/>
      <c r="I867" s="10" t="n"/>
      <c r="J867" s="10" t="n"/>
      <c r="K867" s="10">
        <f>IF(A867="","",TEXT(A867,"yyyy-mm"))</f>
        <v/>
      </c>
      <c r="L867" s="10">
        <f>IF(A867="","",WEEKNUM(A867))</f>
        <v/>
      </c>
      <c r="M867" s="10">
        <f>IF(A867="","",IF(COUNTIFS(A:A,A867,B:B,B867,F:F,F867)&gt;1,"⚠ Possible Duplicate",""))</f>
        <v/>
      </c>
      <c r="N867" s="10" t="n"/>
    </row>
    <row r="868">
      <c r="A868" s="10" t="n"/>
      <c r="B868" s="10" t="n"/>
      <c r="C868" s="10" t="n"/>
      <c r="D868" s="10" t="n"/>
      <c r="E868" s="10" t="n"/>
      <c r="F868" s="13" t="n"/>
      <c r="G868" s="10" t="n"/>
      <c r="H868" s="10" t="n"/>
      <c r="I868" s="10" t="n"/>
      <c r="J868" s="10" t="n"/>
      <c r="K868" s="10">
        <f>IF(A868="","",TEXT(A868,"yyyy-mm"))</f>
        <v/>
      </c>
      <c r="L868" s="10">
        <f>IF(A868="","",WEEKNUM(A868))</f>
        <v/>
      </c>
      <c r="M868" s="10">
        <f>IF(A868="","",IF(COUNTIFS(A:A,A868,B:B,B868,F:F,F868)&gt;1,"⚠ Possible Duplicate",""))</f>
        <v/>
      </c>
      <c r="N868" s="10" t="n"/>
    </row>
    <row r="869">
      <c r="A869" s="10" t="n"/>
      <c r="B869" s="10" t="n"/>
      <c r="C869" s="10" t="n"/>
      <c r="D869" s="10" t="n"/>
      <c r="E869" s="10" t="n"/>
      <c r="F869" s="13" t="n"/>
      <c r="G869" s="10" t="n"/>
      <c r="H869" s="10" t="n"/>
      <c r="I869" s="10" t="n"/>
      <c r="J869" s="10" t="n"/>
      <c r="K869" s="10">
        <f>IF(A869="","",TEXT(A869,"yyyy-mm"))</f>
        <v/>
      </c>
      <c r="L869" s="10">
        <f>IF(A869="","",WEEKNUM(A869))</f>
        <v/>
      </c>
      <c r="M869" s="10">
        <f>IF(A869="","",IF(COUNTIFS(A:A,A869,B:B,B869,F:F,F869)&gt;1,"⚠ Possible Duplicate",""))</f>
        <v/>
      </c>
      <c r="N869" s="10" t="n"/>
    </row>
    <row r="870">
      <c r="A870" s="10" t="n"/>
      <c r="B870" s="10" t="n"/>
      <c r="C870" s="10" t="n"/>
      <c r="D870" s="10" t="n"/>
      <c r="E870" s="10" t="n"/>
      <c r="F870" s="13" t="n"/>
      <c r="G870" s="10" t="n"/>
      <c r="H870" s="10" t="n"/>
      <c r="I870" s="10" t="n"/>
      <c r="J870" s="10" t="n"/>
      <c r="K870" s="10">
        <f>IF(A870="","",TEXT(A870,"yyyy-mm"))</f>
        <v/>
      </c>
      <c r="L870" s="10">
        <f>IF(A870="","",WEEKNUM(A870))</f>
        <v/>
      </c>
      <c r="M870" s="10">
        <f>IF(A870="","",IF(COUNTIFS(A:A,A870,B:B,B870,F:F,F870)&gt;1,"⚠ Possible Duplicate",""))</f>
        <v/>
      </c>
      <c r="N870" s="10" t="n"/>
    </row>
    <row r="871">
      <c r="A871" s="10" t="n"/>
      <c r="B871" s="10" t="n"/>
      <c r="C871" s="10" t="n"/>
      <c r="D871" s="10" t="n"/>
      <c r="E871" s="10" t="n"/>
      <c r="F871" s="13" t="n"/>
      <c r="G871" s="10" t="n"/>
      <c r="H871" s="10" t="n"/>
      <c r="I871" s="10" t="n"/>
      <c r="J871" s="10" t="n"/>
      <c r="K871" s="10">
        <f>IF(A871="","",TEXT(A871,"yyyy-mm"))</f>
        <v/>
      </c>
      <c r="L871" s="10">
        <f>IF(A871="","",WEEKNUM(A871))</f>
        <v/>
      </c>
      <c r="M871" s="10">
        <f>IF(A871="","",IF(COUNTIFS(A:A,A871,B:B,B871,F:F,F871)&gt;1,"⚠ Possible Duplicate",""))</f>
        <v/>
      </c>
      <c r="N871" s="10" t="n"/>
    </row>
    <row r="872">
      <c r="A872" s="10" t="n"/>
      <c r="B872" s="10" t="n"/>
      <c r="C872" s="10" t="n"/>
      <c r="D872" s="10" t="n"/>
      <c r="E872" s="10" t="n"/>
      <c r="F872" s="13" t="n"/>
      <c r="G872" s="10" t="n"/>
      <c r="H872" s="10" t="n"/>
      <c r="I872" s="10" t="n"/>
      <c r="J872" s="10" t="n"/>
      <c r="K872" s="10">
        <f>IF(A872="","",TEXT(A872,"yyyy-mm"))</f>
        <v/>
      </c>
      <c r="L872" s="10">
        <f>IF(A872="","",WEEKNUM(A872))</f>
        <v/>
      </c>
      <c r="M872" s="10">
        <f>IF(A872="","",IF(COUNTIFS(A:A,A872,B:B,B872,F:F,F872)&gt;1,"⚠ Possible Duplicate",""))</f>
        <v/>
      </c>
      <c r="N872" s="10" t="n"/>
    </row>
    <row r="873">
      <c r="A873" s="10" t="n"/>
      <c r="B873" s="10" t="n"/>
      <c r="C873" s="10" t="n"/>
      <c r="D873" s="10" t="n"/>
      <c r="E873" s="10" t="n"/>
      <c r="F873" s="13" t="n"/>
      <c r="G873" s="10" t="n"/>
      <c r="H873" s="10" t="n"/>
      <c r="I873" s="10" t="n"/>
      <c r="J873" s="10" t="n"/>
      <c r="K873" s="10">
        <f>IF(A873="","",TEXT(A873,"yyyy-mm"))</f>
        <v/>
      </c>
      <c r="L873" s="10">
        <f>IF(A873="","",WEEKNUM(A873))</f>
        <v/>
      </c>
      <c r="M873" s="10">
        <f>IF(A873="","",IF(COUNTIFS(A:A,A873,B:B,B873,F:F,F873)&gt;1,"⚠ Possible Duplicate",""))</f>
        <v/>
      </c>
      <c r="N873" s="10" t="n"/>
    </row>
    <row r="874">
      <c r="A874" s="10" t="n"/>
      <c r="B874" s="10" t="n"/>
      <c r="C874" s="10" t="n"/>
      <c r="D874" s="10" t="n"/>
      <c r="E874" s="10" t="n"/>
      <c r="F874" s="13" t="n"/>
      <c r="G874" s="10" t="n"/>
      <c r="H874" s="10" t="n"/>
      <c r="I874" s="10" t="n"/>
      <c r="J874" s="10" t="n"/>
      <c r="K874" s="10">
        <f>IF(A874="","",TEXT(A874,"yyyy-mm"))</f>
        <v/>
      </c>
      <c r="L874" s="10">
        <f>IF(A874="","",WEEKNUM(A874))</f>
        <v/>
      </c>
      <c r="M874" s="10">
        <f>IF(A874="","",IF(COUNTIFS(A:A,A874,B:B,B874,F:F,F874)&gt;1,"⚠ Possible Duplicate",""))</f>
        <v/>
      </c>
      <c r="N874" s="10" t="n"/>
    </row>
    <row r="875">
      <c r="A875" s="10" t="n"/>
      <c r="B875" s="10" t="n"/>
      <c r="C875" s="10" t="n"/>
      <c r="D875" s="10" t="n"/>
      <c r="E875" s="10" t="n"/>
      <c r="F875" s="13" t="n"/>
      <c r="G875" s="10" t="n"/>
      <c r="H875" s="10" t="n"/>
      <c r="I875" s="10" t="n"/>
      <c r="J875" s="10" t="n"/>
      <c r="K875" s="10">
        <f>IF(A875="","",TEXT(A875,"yyyy-mm"))</f>
        <v/>
      </c>
      <c r="L875" s="10">
        <f>IF(A875="","",WEEKNUM(A875))</f>
        <v/>
      </c>
      <c r="M875" s="10">
        <f>IF(A875="","",IF(COUNTIFS(A:A,A875,B:B,B875,F:F,F875)&gt;1,"⚠ Possible Duplicate",""))</f>
        <v/>
      </c>
      <c r="N875" s="10" t="n"/>
    </row>
    <row r="876">
      <c r="A876" s="10" t="n"/>
      <c r="B876" s="10" t="n"/>
      <c r="C876" s="10" t="n"/>
      <c r="D876" s="10" t="n"/>
      <c r="E876" s="10" t="n"/>
      <c r="F876" s="13" t="n"/>
      <c r="G876" s="10" t="n"/>
      <c r="H876" s="10" t="n"/>
      <c r="I876" s="10" t="n"/>
      <c r="J876" s="10" t="n"/>
      <c r="K876" s="10">
        <f>IF(A876="","",TEXT(A876,"yyyy-mm"))</f>
        <v/>
      </c>
      <c r="L876" s="10">
        <f>IF(A876="","",WEEKNUM(A876))</f>
        <v/>
      </c>
      <c r="M876" s="10">
        <f>IF(A876="","",IF(COUNTIFS(A:A,A876,B:B,B876,F:F,F876)&gt;1,"⚠ Possible Duplicate",""))</f>
        <v/>
      </c>
      <c r="N876" s="10" t="n"/>
    </row>
    <row r="877">
      <c r="A877" s="10" t="n"/>
      <c r="B877" s="10" t="n"/>
      <c r="C877" s="10" t="n"/>
      <c r="D877" s="10" t="n"/>
      <c r="E877" s="10" t="n"/>
      <c r="F877" s="13" t="n"/>
      <c r="G877" s="10" t="n"/>
      <c r="H877" s="10" t="n"/>
      <c r="I877" s="10" t="n"/>
      <c r="J877" s="10" t="n"/>
      <c r="K877" s="10">
        <f>IF(A877="","",TEXT(A877,"yyyy-mm"))</f>
        <v/>
      </c>
      <c r="L877" s="10">
        <f>IF(A877="","",WEEKNUM(A877))</f>
        <v/>
      </c>
      <c r="M877" s="10">
        <f>IF(A877="","",IF(COUNTIFS(A:A,A877,B:B,B877,F:F,F877)&gt;1,"⚠ Possible Duplicate",""))</f>
        <v/>
      </c>
      <c r="N877" s="10" t="n"/>
    </row>
    <row r="878">
      <c r="A878" s="10" t="n"/>
      <c r="B878" s="10" t="n"/>
      <c r="C878" s="10" t="n"/>
      <c r="D878" s="10" t="n"/>
      <c r="E878" s="10" t="n"/>
      <c r="F878" s="13" t="n"/>
      <c r="G878" s="10" t="n"/>
      <c r="H878" s="10" t="n"/>
      <c r="I878" s="10" t="n"/>
      <c r="J878" s="10" t="n"/>
      <c r="K878" s="10">
        <f>IF(A878="","",TEXT(A878,"yyyy-mm"))</f>
        <v/>
      </c>
      <c r="L878" s="10">
        <f>IF(A878="","",WEEKNUM(A878))</f>
        <v/>
      </c>
      <c r="M878" s="10">
        <f>IF(A878="","",IF(COUNTIFS(A:A,A878,B:B,B878,F:F,F878)&gt;1,"⚠ Possible Duplicate",""))</f>
        <v/>
      </c>
      <c r="N878" s="10" t="n"/>
    </row>
    <row r="879">
      <c r="A879" s="10" t="n"/>
      <c r="B879" s="10" t="n"/>
      <c r="C879" s="10" t="n"/>
      <c r="D879" s="10" t="n"/>
      <c r="E879" s="10" t="n"/>
      <c r="F879" s="13" t="n"/>
      <c r="G879" s="10" t="n"/>
      <c r="H879" s="10" t="n"/>
      <c r="I879" s="10" t="n"/>
      <c r="J879" s="10" t="n"/>
      <c r="K879" s="10">
        <f>IF(A879="","",TEXT(A879,"yyyy-mm"))</f>
        <v/>
      </c>
      <c r="L879" s="10">
        <f>IF(A879="","",WEEKNUM(A879))</f>
        <v/>
      </c>
      <c r="M879" s="10">
        <f>IF(A879="","",IF(COUNTIFS(A:A,A879,B:B,B879,F:F,F879)&gt;1,"⚠ Possible Duplicate",""))</f>
        <v/>
      </c>
      <c r="N879" s="10" t="n"/>
    </row>
    <row r="880">
      <c r="A880" s="10" t="n"/>
      <c r="B880" s="10" t="n"/>
      <c r="C880" s="10" t="n"/>
      <c r="D880" s="10" t="n"/>
      <c r="E880" s="10" t="n"/>
      <c r="F880" s="13" t="n"/>
      <c r="G880" s="10" t="n"/>
      <c r="H880" s="10" t="n"/>
      <c r="I880" s="10" t="n"/>
      <c r="J880" s="10" t="n"/>
      <c r="K880" s="10">
        <f>IF(A880="","",TEXT(A880,"yyyy-mm"))</f>
        <v/>
      </c>
      <c r="L880" s="10">
        <f>IF(A880="","",WEEKNUM(A880))</f>
        <v/>
      </c>
      <c r="M880" s="10">
        <f>IF(A880="","",IF(COUNTIFS(A:A,A880,B:B,B880,F:F,F880)&gt;1,"⚠ Possible Duplicate",""))</f>
        <v/>
      </c>
      <c r="N880" s="10" t="n"/>
    </row>
    <row r="881">
      <c r="A881" s="10" t="n"/>
      <c r="B881" s="10" t="n"/>
      <c r="C881" s="10" t="n"/>
      <c r="D881" s="10" t="n"/>
      <c r="E881" s="10" t="n"/>
      <c r="F881" s="13" t="n"/>
      <c r="G881" s="10" t="n"/>
      <c r="H881" s="10" t="n"/>
      <c r="I881" s="10" t="n"/>
      <c r="J881" s="10" t="n"/>
      <c r="K881" s="10">
        <f>IF(A881="","",TEXT(A881,"yyyy-mm"))</f>
        <v/>
      </c>
      <c r="L881" s="10">
        <f>IF(A881="","",WEEKNUM(A881))</f>
        <v/>
      </c>
      <c r="M881" s="10">
        <f>IF(A881="","",IF(COUNTIFS(A:A,A881,B:B,B881,F:F,F881)&gt;1,"⚠ Possible Duplicate",""))</f>
        <v/>
      </c>
      <c r="N881" s="10" t="n"/>
    </row>
    <row r="882">
      <c r="A882" s="10" t="n"/>
      <c r="B882" s="10" t="n"/>
      <c r="C882" s="10" t="n"/>
      <c r="D882" s="10" t="n"/>
      <c r="E882" s="10" t="n"/>
      <c r="F882" s="13" t="n"/>
      <c r="G882" s="10" t="n"/>
      <c r="H882" s="10" t="n"/>
      <c r="I882" s="10" t="n"/>
      <c r="J882" s="10" t="n"/>
      <c r="K882" s="10">
        <f>IF(A882="","",TEXT(A882,"yyyy-mm"))</f>
        <v/>
      </c>
      <c r="L882" s="10">
        <f>IF(A882="","",WEEKNUM(A882))</f>
        <v/>
      </c>
      <c r="M882" s="10">
        <f>IF(A882="","",IF(COUNTIFS(A:A,A882,B:B,B882,F:F,F882)&gt;1,"⚠ Possible Duplicate",""))</f>
        <v/>
      </c>
      <c r="N882" s="10" t="n"/>
    </row>
    <row r="883">
      <c r="A883" s="10" t="n"/>
      <c r="B883" s="10" t="n"/>
      <c r="C883" s="10" t="n"/>
      <c r="D883" s="10" t="n"/>
      <c r="E883" s="10" t="n"/>
      <c r="F883" s="13" t="n"/>
      <c r="G883" s="10" t="n"/>
      <c r="H883" s="10" t="n"/>
      <c r="I883" s="10" t="n"/>
      <c r="J883" s="10" t="n"/>
      <c r="K883" s="10">
        <f>IF(A883="","",TEXT(A883,"yyyy-mm"))</f>
        <v/>
      </c>
      <c r="L883" s="10">
        <f>IF(A883="","",WEEKNUM(A883))</f>
        <v/>
      </c>
      <c r="M883" s="10">
        <f>IF(A883="","",IF(COUNTIFS(A:A,A883,B:B,B883,F:F,F883)&gt;1,"⚠ Possible Duplicate",""))</f>
        <v/>
      </c>
      <c r="N883" s="10" t="n"/>
    </row>
    <row r="884">
      <c r="A884" s="10" t="n"/>
      <c r="B884" s="10" t="n"/>
      <c r="C884" s="10" t="n"/>
      <c r="D884" s="10" t="n"/>
      <c r="E884" s="10" t="n"/>
      <c r="F884" s="13" t="n"/>
      <c r="G884" s="10" t="n"/>
      <c r="H884" s="10" t="n"/>
      <c r="I884" s="10" t="n"/>
      <c r="J884" s="10" t="n"/>
      <c r="K884" s="10">
        <f>IF(A884="","",TEXT(A884,"yyyy-mm"))</f>
        <v/>
      </c>
      <c r="L884" s="10">
        <f>IF(A884="","",WEEKNUM(A884))</f>
        <v/>
      </c>
      <c r="M884" s="10">
        <f>IF(A884="","",IF(COUNTIFS(A:A,A884,B:B,B884,F:F,F884)&gt;1,"⚠ Possible Duplicate",""))</f>
        <v/>
      </c>
      <c r="N884" s="10" t="n"/>
    </row>
    <row r="885">
      <c r="A885" s="10" t="n"/>
      <c r="B885" s="10" t="n"/>
      <c r="C885" s="10" t="n"/>
      <c r="D885" s="10" t="n"/>
      <c r="E885" s="10" t="n"/>
      <c r="F885" s="13" t="n"/>
      <c r="G885" s="10" t="n"/>
      <c r="H885" s="10" t="n"/>
      <c r="I885" s="10" t="n"/>
      <c r="J885" s="10" t="n"/>
      <c r="K885" s="10">
        <f>IF(A885="","",TEXT(A885,"yyyy-mm"))</f>
        <v/>
      </c>
      <c r="L885" s="10">
        <f>IF(A885="","",WEEKNUM(A885))</f>
        <v/>
      </c>
      <c r="M885" s="10">
        <f>IF(A885="","",IF(COUNTIFS(A:A,A885,B:B,B885,F:F,F885)&gt;1,"⚠ Possible Duplicate",""))</f>
        <v/>
      </c>
      <c r="N885" s="10" t="n"/>
    </row>
    <row r="886">
      <c r="A886" s="10" t="n"/>
      <c r="B886" s="10" t="n"/>
      <c r="C886" s="10" t="n"/>
      <c r="D886" s="10" t="n"/>
      <c r="E886" s="10" t="n"/>
      <c r="F886" s="13" t="n"/>
      <c r="G886" s="10" t="n"/>
      <c r="H886" s="10" t="n"/>
      <c r="I886" s="10" t="n"/>
      <c r="J886" s="10" t="n"/>
      <c r="K886" s="10">
        <f>IF(A886="","",TEXT(A886,"yyyy-mm"))</f>
        <v/>
      </c>
      <c r="L886" s="10">
        <f>IF(A886="","",WEEKNUM(A886))</f>
        <v/>
      </c>
      <c r="M886" s="10">
        <f>IF(A886="","",IF(COUNTIFS(A:A,A886,B:B,B886,F:F,F886)&gt;1,"⚠ Possible Duplicate",""))</f>
        <v/>
      </c>
      <c r="N886" s="10" t="n"/>
    </row>
    <row r="887">
      <c r="A887" s="10" t="n"/>
      <c r="B887" s="10" t="n"/>
      <c r="C887" s="10" t="n"/>
      <c r="D887" s="10" t="n"/>
      <c r="E887" s="10" t="n"/>
      <c r="F887" s="13" t="n"/>
      <c r="G887" s="10" t="n"/>
      <c r="H887" s="10" t="n"/>
      <c r="I887" s="10" t="n"/>
      <c r="J887" s="10" t="n"/>
      <c r="K887" s="10">
        <f>IF(A887="","",TEXT(A887,"yyyy-mm"))</f>
        <v/>
      </c>
      <c r="L887" s="10">
        <f>IF(A887="","",WEEKNUM(A887))</f>
        <v/>
      </c>
      <c r="M887" s="10">
        <f>IF(A887="","",IF(COUNTIFS(A:A,A887,B:B,B887,F:F,F887)&gt;1,"⚠ Possible Duplicate",""))</f>
        <v/>
      </c>
      <c r="N887" s="10" t="n"/>
    </row>
    <row r="888">
      <c r="A888" s="10" t="n"/>
      <c r="B888" s="10" t="n"/>
      <c r="C888" s="10" t="n"/>
      <c r="D888" s="10" t="n"/>
      <c r="E888" s="10" t="n"/>
      <c r="F888" s="13" t="n"/>
      <c r="G888" s="10" t="n"/>
      <c r="H888" s="10" t="n"/>
      <c r="I888" s="10" t="n"/>
      <c r="J888" s="10" t="n"/>
      <c r="K888" s="10">
        <f>IF(A888="","",TEXT(A888,"yyyy-mm"))</f>
        <v/>
      </c>
      <c r="L888" s="10">
        <f>IF(A888="","",WEEKNUM(A888))</f>
        <v/>
      </c>
      <c r="M888" s="10">
        <f>IF(A888="","",IF(COUNTIFS(A:A,A888,B:B,B888,F:F,F888)&gt;1,"⚠ Possible Duplicate",""))</f>
        <v/>
      </c>
      <c r="N888" s="10" t="n"/>
    </row>
    <row r="889">
      <c r="A889" s="10" t="n"/>
      <c r="B889" s="10" t="n"/>
      <c r="C889" s="10" t="n"/>
      <c r="D889" s="10" t="n"/>
      <c r="E889" s="10" t="n"/>
      <c r="F889" s="13" t="n"/>
      <c r="G889" s="10" t="n"/>
      <c r="H889" s="10" t="n"/>
      <c r="I889" s="10" t="n"/>
      <c r="J889" s="10" t="n"/>
      <c r="K889" s="10">
        <f>IF(A889="","",TEXT(A889,"yyyy-mm"))</f>
        <v/>
      </c>
      <c r="L889" s="10">
        <f>IF(A889="","",WEEKNUM(A889))</f>
        <v/>
      </c>
      <c r="M889" s="10">
        <f>IF(A889="","",IF(COUNTIFS(A:A,A889,B:B,B889,F:F,F889)&gt;1,"⚠ Possible Duplicate",""))</f>
        <v/>
      </c>
      <c r="N889" s="10" t="n"/>
    </row>
    <row r="890">
      <c r="A890" s="10" t="n"/>
      <c r="B890" s="10" t="n"/>
      <c r="C890" s="10" t="n"/>
      <c r="D890" s="10" t="n"/>
      <c r="E890" s="10" t="n"/>
      <c r="F890" s="13" t="n"/>
      <c r="G890" s="10" t="n"/>
      <c r="H890" s="10" t="n"/>
      <c r="I890" s="10" t="n"/>
      <c r="J890" s="10" t="n"/>
      <c r="K890" s="10">
        <f>IF(A890="","",TEXT(A890,"yyyy-mm"))</f>
        <v/>
      </c>
      <c r="L890" s="10">
        <f>IF(A890="","",WEEKNUM(A890))</f>
        <v/>
      </c>
      <c r="M890" s="10">
        <f>IF(A890="","",IF(COUNTIFS(A:A,A890,B:B,B890,F:F,F890)&gt;1,"⚠ Possible Duplicate",""))</f>
        <v/>
      </c>
      <c r="N890" s="10" t="n"/>
    </row>
    <row r="891">
      <c r="A891" s="10" t="n"/>
      <c r="B891" s="10" t="n"/>
      <c r="C891" s="10" t="n"/>
      <c r="D891" s="10" t="n"/>
      <c r="E891" s="10" t="n"/>
      <c r="F891" s="13" t="n"/>
      <c r="G891" s="10" t="n"/>
      <c r="H891" s="10" t="n"/>
      <c r="I891" s="10" t="n"/>
      <c r="J891" s="10" t="n"/>
      <c r="K891" s="10">
        <f>IF(A891="","",TEXT(A891,"yyyy-mm"))</f>
        <v/>
      </c>
      <c r="L891" s="10">
        <f>IF(A891="","",WEEKNUM(A891))</f>
        <v/>
      </c>
      <c r="M891" s="10">
        <f>IF(A891="","",IF(COUNTIFS(A:A,A891,B:B,B891,F:F,F891)&gt;1,"⚠ Possible Duplicate",""))</f>
        <v/>
      </c>
      <c r="N891" s="10" t="n"/>
    </row>
    <row r="892">
      <c r="A892" s="10" t="n"/>
      <c r="B892" s="10" t="n"/>
      <c r="C892" s="10" t="n"/>
      <c r="D892" s="10" t="n"/>
      <c r="E892" s="10" t="n"/>
      <c r="F892" s="13" t="n"/>
      <c r="G892" s="10" t="n"/>
      <c r="H892" s="10" t="n"/>
      <c r="I892" s="10" t="n"/>
      <c r="J892" s="10" t="n"/>
      <c r="K892" s="10">
        <f>IF(A892="","",TEXT(A892,"yyyy-mm"))</f>
        <v/>
      </c>
      <c r="L892" s="10">
        <f>IF(A892="","",WEEKNUM(A892))</f>
        <v/>
      </c>
      <c r="M892" s="10">
        <f>IF(A892="","",IF(COUNTIFS(A:A,A892,B:B,B892,F:F,F892)&gt;1,"⚠ Possible Duplicate",""))</f>
        <v/>
      </c>
      <c r="N892" s="10" t="n"/>
    </row>
    <row r="893">
      <c r="A893" s="10" t="n"/>
      <c r="B893" s="10" t="n"/>
      <c r="C893" s="10" t="n"/>
      <c r="D893" s="10" t="n"/>
      <c r="E893" s="10" t="n"/>
      <c r="F893" s="13" t="n"/>
      <c r="G893" s="10" t="n"/>
      <c r="H893" s="10" t="n"/>
      <c r="I893" s="10" t="n"/>
      <c r="J893" s="10" t="n"/>
      <c r="K893" s="10">
        <f>IF(A893="","",TEXT(A893,"yyyy-mm"))</f>
        <v/>
      </c>
      <c r="L893" s="10">
        <f>IF(A893="","",WEEKNUM(A893))</f>
        <v/>
      </c>
      <c r="M893" s="10">
        <f>IF(A893="","",IF(COUNTIFS(A:A,A893,B:B,B893,F:F,F893)&gt;1,"⚠ Possible Duplicate",""))</f>
        <v/>
      </c>
      <c r="N893" s="10" t="n"/>
    </row>
    <row r="894">
      <c r="A894" s="10" t="n"/>
      <c r="B894" s="10" t="n"/>
      <c r="C894" s="10" t="n"/>
      <c r="D894" s="10" t="n"/>
      <c r="E894" s="10" t="n"/>
      <c r="F894" s="13" t="n"/>
      <c r="G894" s="10" t="n"/>
      <c r="H894" s="10" t="n"/>
      <c r="I894" s="10" t="n"/>
      <c r="J894" s="10" t="n"/>
      <c r="K894" s="10">
        <f>IF(A894="","",TEXT(A894,"yyyy-mm"))</f>
        <v/>
      </c>
      <c r="L894" s="10">
        <f>IF(A894="","",WEEKNUM(A894))</f>
        <v/>
      </c>
      <c r="M894" s="10">
        <f>IF(A894="","",IF(COUNTIFS(A:A,A894,B:B,B894,F:F,F894)&gt;1,"⚠ Possible Duplicate",""))</f>
        <v/>
      </c>
      <c r="N894" s="10" t="n"/>
    </row>
    <row r="895">
      <c r="A895" s="10" t="n"/>
      <c r="B895" s="10" t="n"/>
      <c r="C895" s="10" t="n"/>
      <c r="D895" s="10" t="n"/>
      <c r="E895" s="10" t="n"/>
      <c r="F895" s="13" t="n"/>
      <c r="G895" s="10" t="n"/>
      <c r="H895" s="10" t="n"/>
      <c r="I895" s="10" t="n"/>
      <c r="J895" s="10" t="n"/>
      <c r="K895" s="10">
        <f>IF(A895="","",TEXT(A895,"yyyy-mm"))</f>
        <v/>
      </c>
      <c r="L895" s="10">
        <f>IF(A895="","",WEEKNUM(A895))</f>
        <v/>
      </c>
      <c r="M895" s="10">
        <f>IF(A895="","",IF(COUNTIFS(A:A,A895,B:B,B895,F:F,F895)&gt;1,"⚠ Possible Duplicate",""))</f>
        <v/>
      </c>
      <c r="N895" s="10" t="n"/>
    </row>
    <row r="896">
      <c r="A896" s="10" t="n"/>
      <c r="B896" s="10" t="n"/>
      <c r="C896" s="10" t="n"/>
      <c r="D896" s="10" t="n"/>
      <c r="E896" s="10" t="n"/>
      <c r="F896" s="13" t="n"/>
      <c r="G896" s="10" t="n"/>
      <c r="H896" s="10" t="n"/>
      <c r="I896" s="10" t="n"/>
      <c r="J896" s="10" t="n"/>
      <c r="K896" s="10">
        <f>IF(A896="","",TEXT(A896,"yyyy-mm"))</f>
        <v/>
      </c>
      <c r="L896" s="10">
        <f>IF(A896="","",WEEKNUM(A896))</f>
        <v/>
      </c>
      <c r="M896" s="10">
        <f>IF(A896="","",IF(COUNTIFS(A:A,A896,B:B,B896,F:F,F896)&gt;1,"⚠ Possible Duplicate",""))</f>
        <v/>
      </c>
      <c r="N896" s="10" t="n"/>
    </row>
    <row r="897">
      <c r="A897" s="10" t="n"/>
      <c r="B897" s="10" t="n"/>
      <c r="C897" s="10" t="n"/>
      <c r="D897" s="10" t="n"/>
      <c r="E897" s="10" t="n"/>
      <c r="F897" s="13" t="n"/>
      <c r="G897" s="10" t="n"/>
      <c r="H897" s="10" t="n"/>
      <c r="I897" s="10" t="n"/>
      <c r="J897" s="10" t="n"/>
      <c r="K897" s="10">
        <f>IF(A897="","",TEXT(A897,"yyyy-mm"))</f>
        <v/>
      </c>
      <c r="L897" s="10">
        <f>IF(A897="","",WEEKNUM(A897))</f>
        <v/>
      </c>
      <c r="M897" s="10">
        <f>IF(A897="","",IF(COUNTIFS(A:A,A897,B:B,B897,F:F,F897)&gt;1,"⚠ Possible Duplicate",""))</f>
        <v/>
      </c>
      <c r="N897" s="10" t="n"/>
    </row>
    <row r="898">
      <c r="A898" s="10" t="n"/>
      <c r="B898" s="10" t="n"/>
      <c r="C898" s="10" t="n"/>
      <c r="D898" s="10" t="n"/>
      <c r="E898" s="10" t="n"/>
      <c r="F898" s="13" t="n"/>
      <c r="G898" s="10" t="n"/>
      <c r="H898" s="10" t="n"/>
      <c r="I898" s="10" t="n"/>
      <c r="J898" s="10" t="n"/>
      <c r="K898" s="10">
        <f>IF(A898="","",TEXT(A898,"yyyy-mm"))</f>
        <v/>
      </c>
      <c r="L898" s="10">
        <f>IF(A898="","",WEEKNUM(A898))</f>
        <v/>
      </c>
      <c r="M898" s="10">
        <f>IF(A898="","",IF(COUNTIFS(A:A,A898,B:B,B898,F:F,F898)&gt;1,"⚠ Possible Duplicate",""))</f>
        <v/>
      </c>
      <c r="N898" s="10" t="n"/>
    </row>
    <row r="899">
      <c r="A899" s="10" t="n"/>
      <c r="B899" s="10" t="n"/>
      <c r="C899" s="10" t="n"/>
      <c r="D899" s="10" t="n"/>
      <c r="E899" s="10" t="n"/>
      <c r="F899" s="13" t="n"/>
      <c r="G899" s="10" t="n"/>
      <c r="H899" s="10" t="n"/>
      <c r="I899" s="10" t="n"/>
      <c r="J899" s="10" t="n"/>
      <c r="K899" s="10">
        <f>IF(A899="","",TEXT(A899,"yyyy-mm"))</f>
        <v/>
      </c>
      <c r="L899" s="10">
        <f>IF(A899="","",WEEKNUM(A899))</f>
        <v/>
      </c>
      <c r="M899" s="10">
        <f>IF(A899="","",IF(COUNTIFS(A:A,A899,B:B,B899,F:F,F899)&gt;1,"⚠ Possible Duplicate",""))</f>
        <v/>
      </c>
      <c r="N899" s="10" t="n"/>
    </row>
    <row r="900">
      <c r="A900" s="10" t="n"/>
      <c r="B900" s="10" t="n"/>
      <c r="C900" s="10" t="n"/>
      <c r="D900" s="10" t="n"/>
      <c r="E900" s="10" t="n"/>
      <c r="F900" s="13" t="n"/>
      <c r="G900" s="10" t="n"/>
      <c r="H900" s="10" t="n"/>
      <c r="I900" s="10" t="n"/>
      <c r="J900" s="10" t="n"/>
      <c r="K900" s="10">
        <f>IF(A900="","",TEXT(A900,"yyyy-mm"))</f>
        <v/>
      </c>
      <c r="L900" s="10">
        <f>IF(A900="","",WEEKNUM(A900))</f>
        <v/>
      </c>
      <c r="M900" s="10">
        <f>IF(A900="","",IF(COUNTIFS(A:A,A900,B:B,B900,F:F,F900)&gt;1,"⚠ Possible Duplicate",""))</f>
        <v/>
      </c>
      <c r="N900" s="10" t="n"/>
    </row>
    <row r="901">
      <c r="A901" s="10" t="n"/>
      <c r="B901" s="10" t="n"/>
      <c r="C901" s="10" t="n"/>
      <c r="D901" s="10" t="n"/>
      <c r="E901" s="10" t="n"/>
      <c r="F901" s="13" t="n"/>
      <c r="G901" s="10" t="n"/>
      <c r="H901" s="10" t="n"/>
      <c r="I901" s="10" t="n"/>
      <c r="J901" s="10" t="n"/>
      <c r="K901" s="10">
        <f>IF(A901="","",TEXT(A901,"yyyy-mm"))</f>
        <v/>
      </c>
      <c r="L901" s="10">
        <f>IF(A901="","",WEEKNUM(A901))</f>
        <v/>
      </c>
      <c r="M901" s="10">
        <f>IF(A901="","",IF(COUNTIFS(A:A,A901,B:B,B901,F:F,F901)&gt;1,"⚠ Possible Duplicate",""))</f>
        <v/>
      </c>
      <c r="N901" s="10" t="n"/>
    </row>
    <row r="902">
      <c r="A902" s="10" t="n"/>
      <c r="B902" s="10" t="n"/>
      <c r="C902" s="10" t="n"/>
      <c r="D902" s="10" t="n"/>
      <c r="E902" s="10" t="n"/>
      <c r="F902" s="13" t="n"/>
      <c r="G902" s="10" t="n"/>
      <c r="H902" s="10" t="n"/>
      <c r="I902" s="10" t="n"/>
      <c r="J902" s="10" t="n"/>
      <c r="K902" s="10">
        <f>IF(A902="","",TEXT(A902,"yyyy-mm"))</f>
        <v/>
      </c>
      <c r="L902" s="10">
        <f>IF(A902="","",WEEKNUM(A902))</f>
        <v/>
      </c>
      <c r="M902" s="10">
        <f>IF(A902="","",IF(COUNTIFS(A:A,A902,B:B,B902,F:F,F902)&gt;1,"⚠ Possible Duplicate",""))</f>
        <v/>
      </c>
      <c r="N902" s="10" t="n"/>
    </row>
    <row r="903">
      <c r="A903" s="10" t="n"/>
      <c r="B903" s="10" t="n"/>
      <c r="C903" s="10" t="n"/>
      <c r="D903" s="10" t="n"/>
      <c r="E903" s="10" t="n"/>
      <c r="F903" s="13" t="n"/>
      <c r="G903" s="10" t="n"/>
      <c r="H903" s="10" t="n"/>
      <c r="I903" s="10" t="n"/>
      <c r="J903" s="10" t="n"/>
      <c r="K903" s="10">
        <f>IF(A903="","",TEXT(A903,"yyyy-mm"))</f>
        <v/>
      </c>
      <c r="L903" s="10">
        <f>IF(A903="","",WEEKNUM(A903))</f>
        <v/>
      </c>
      <c r="M903" s="10">
        <f>IF(A903="","",IF(COUNTIFS(A:A,A903,B:B,B903,F:F,F903)&gt;1,"⚠ Possible Duplicate",""))</f>
        <v/>
      </c>
      <c r="N903" s="10" t="n"/>
    </row>
    <row r="904">
      <c r="A904" s="10" t="n"/>
      <c r="B904" s="10" t="n"/>
      <c r="C904" s="10" t="n"/>
      <c r="D904" s="10" t="n"/>
      <c r="E904" s="10" t="n"/>
      <c r="F904" s="13" t="n"/>
      <c r="G904" s="10" t="n"/>
      <c r="H904" s="10" t="n"/>
      <c r="I904" s="10" t="n"/>
      <c r="J904" s="10" t="n"/>
      <c r="K904" s="10">
        <f>IF(A904="","",TEXT(A904,"yyyy-mm"))</f>
        <v/>
      </c>
      <c r="L904" s="10">
        <f>IF(A904="","",WEEKNUM(A904))</f>
        <v/>
      </c>
      <c r="M904" s="10">
        <f>IF(A904="","",IF(COUNTIFS(A:A,A904,B:B,B904,F:F,F904)&gt;1,"⚠ Possible Duplicate",""))</f>
        <v/>
      </c>
      <c r="N904" s="10" t="n"/>
    </row>
    <row r="905">
      <c r="A905" s="10" t="n"/>
      <c r="B905" s="10" t="n"/>
      <c r="C905" s="10" t="n"/>
      <c r="D905" s="10" t="n"/>
      <c r="E905" s="10" t="n"/>
      <c r="F905" s="13" t="n"/>
      <c r="G905" s="10" t="n"/>
      <c r="H905" s="10" t="n"/>
      <c r="I905" s="10" t="n"/>
      <c r="J905" s="10" t="n"/>
      <c r="K905" s="10">
        <f>IF(A905="","",TEXT(A905,"yyyy-mm"))</f>
        <v/>
      </c>
      <c r="L905" s="10">
        <f>IF(A905="","",WEEKNUM(A905))</f>
        <v/>
      </c>
      <c r="M905" s="10">
        <f>IF(A905="","",IF(COUNTIFS(A:A,A905,B:B,B905,F:F,F905)&gt;1,"⚠ Possible Duplicate",""))</f>
        <v/>
      </c>
      <c r="N905" s="10" t="n"/>
    </row>
    <row r="906">
      <c r="A906" s="10" t="n"/>
      <c r="B906" s="10" t="n"/>
      <c r="C906" s="10" t="n"/>
      <c r="D906" s="10" t="n"/>
      <c r="E906" s="10" t="n"/>
      <c r="F906" s="13" t="n"/>
      <c r="G906" s="10" t="n"/>
      <c r="H906" s="10" t="n"/>
      <c r="I906" s="10" t="n"/>
      <c r="J906" s="10" t="n"/>
      <c r="K906" s="10">
        <f>IF(A906="","",TEXT(A906,"yyyy-mm"))</f>
        <v/>
      </c>
      <c r="L906" s="10">
        <f>IF(A906="","",WEEKNUM(A906))</f>
        <v/>
      </c>
      <c r="M906" s="10">
        <f>IF(A906="","",IF(COUNTIFS(A:A,A906,B:B,B906,F:F,F906)&gt;1,"⚠ Possible Duplicate",""))</f>
        <v/>
      </c>
      <c r="N906" s="10" t="n"/>
    </row>
    <row r="907">
      <c r="A907" s="10" t="n"/>
      <c r="B907" s="10" t="n"/>
      <c r="C907" s="10" t="n"/>
      <c r="D907" s="10" t="n"/>
      <c r="E907" s="10" t="n"/>
      <c r="F907" s="13" t="n"/>
      <c r="G907" s="10" t="n"/>
      <c r="H907" s="10" t="n"/>
      <c r="I907" s="10" t="n"/>
      <c r="J907" s="10" t="n"/>
      <c r="K907" s="10">
        <f>IF(A907="","",TEXT(A907,"yyyy-mm"))</f>
        <v/>
      </c>
      <c r="L907" s="10">
        <f>IF(A907="","",WEEKNUM(A907))</f>
        <v/>
      </c>
      <c r="M907" s="10">
        <f>IF(A907="","",IF(COUNTIFS(A:A,A907,B:B,B907,F:F,F907)&gt;1,"⚠ Possible Duplicate",""))</f>
        <v/>
      </c>
      <c r="N907" s="10" t="n"/>
    </row>
    <row r="908">
      <c r="A908" s="10" t="n"/>
      <c r="B908" s="10" t="n"/>
      <c r="C908" s="10" t="n"/>
      <c r="D908" s="10" t="n"/>
      <c r="E908" s="10" t="n"/>
      <c r="F908" s="13" t="n"/>
      <c r="G908" s="10" t="n"/>
      <c r="H908" s="10" t="n"/>
      <c r="I908" s="10" t="n"/>
      <c r="J908" s="10" t="n"/>
      <c r="K908" s="10">
        <f>IF(A908="","",TEXT(A908,"yyyy-mm"))</f>
        <v/>
      </c>
      <c r="L908" s="10">
        <f>IF(A908="","",WEEKNUM(A908))</f>
        <v/>
      </c>
      <c r="M908" s="10">
        <f>IF(A908="","",IF(COUNTIFS(A:A,A908,B:B,B908,F:F,F908)&gt;1,"⚠ Possible Duplicate",""))</f>
        <v/>
      </c>
      <c r="N908" s="10" t="n"/>
    </row>
    <row r="909">
      <c r="A909" s="10" t="n"/>
      <c r="B909" s="10" t="n"/>
      <c r="C909" s="10" t="n"/>
      <c r="D909" s="10" t="n"/>
      <c r="E909" s="10" t="n"/>
      <c r="F909" s="13" t="n"/>
      <c r="G909" s="10" t="n"/>
      <c r="H909" s="10" t="n"/>
      <c r="I909" s="10" t="n"/>
      <c r="J909" s="10" t="n"/>
      <c r="K909" s="10">
        <f>IF(A909="","",TEXT(A909,"yyyy-mm"))</f>
        <v/>
      </c>
      <c r="L909" s="10">
        <f>IF(A909="","",WEEKNUM(A909))</f>
        <v/>
      </c>
      <c r="M909" s="10">
        <f>IF(A909="","",IF(COUNTIFS(A:A,A909,B:B,B909,F:F,F909)&gt;1,"⚠ Possible Duplicate",""))</f>
        <v/>
      </c>
      <c r="N909" s="10" t="n"/>
    </row>
    <row r="910">
      <c r="A910" s="10" t="n"/>
      <c r="B910" s="10" t="n"/>
      <c r="C910" s="10" t="n"/>
      <c r="D910" s="10" t="n"/>
      <c r="E910" s="10" t="n"/>
      <c r="F910" s="13" t="n"/>
      <c r="G910" s="10" t="n"/>
      <c r="H910" s="10" t="n"/>
      <c r="I910" s="10" t="n"/>
      <c r="J910" s="10" t="n"/>
      <c r="K910" s="10">
        <f>IF(A910="","",TEXT(A910,"yyyy-mm"))</f>
        <v/>
      </c>
      <c r="L910" s="10">
        <f>IF(A910="","",WEEKNUM(A910))</f>
        <v/>
      </c>
      <c r="M910" s="10">
        <f>IF(A910="","",IF(COUNTIFS(A:A,A910,B:B,B910,F:F,F910)&gt;1,"⚠ Possible Duplicate",""))</f>
        <v/>
      </c>
      <c r="N910" s="10" t="n"/>
    </row>
    <row r="911">
      <c r="A911" s="10" t="n"/>
      <c r="B911" s="10" t="n"/>
      <c r="C911" s="10" t="n"/>
      <c r="D911" s="10" t="n"/>
      <c r="E911" s="10" t="n"/>
      <c r="F911" s="13" t="n"/>
      <c r="G911" s="10" t="n"/>
      <c r="H911" s="10" t="n"/>
      <c r="I911" s="10" t="n"/>
      <c r="J911" s="10" t="n"/>
      <c r="K911" s="10">
        <f>IF(A911="","",TEXT(A911,"yyyy-mm"))</f>
        <v/>
      </c>
      <c r="L911" s="10">
        <f>IF(A911="","",WEEKNUM(A911))</f>
        <v/>
      </c>
      <c r="M911" s="10">
        <f>IF(A911="","",IF(COUNTIFS(A:A,A911,B:B,B911,F:F,F911)&gt;1,"⚠ Possible Duplicate",""))</f>
        <v/>
      </c>
      <c r="N911" s="10" t="n"/>
    </row>
    <row r="912">
      <c r="A912" s="10" t="n"/>
      <c r="B912" s="10" t="n"/>
      <c r="C912" s="10" t="n"/>
      <c r="D912" s="10" t="n"/>
      <c r="E912" s="10" t="n"/>
      <c r="F912" s="13" t="n"/>
      <c r="G912" s="10" t="n"/>
      <c r="H912" s="10" t="n"/>
      <c r="I912" s="10" t="n"/>
      <c r="J912" s="10" t="n"/>
      <c r="K912" s="10">
        <f>IF(A912="","",TEXT(A912,"yyyy-mm"))</f>
        <v/>
      </c>
      <c r="L912" s="10">
        <f>IF(A912="","",WEEKNUM(A912))</f>
        <v/>
      </c>
      <c r="M912" s="10">
        <f>IF(A912="","",IF(COUNTIFS(A:A,A912,B:B,B912,F:F,F912)&gt;1,"⚠ Possible Duplicate",""))</f>
        <v/>
      </c>
      <c r="N912" s="10" t="n"/>
    </row>
    <row r="913">
      <c r="A913" s="10" t="n"/>
      <c r="B913" s="10" t="n"/>
      <c r="C913" s="10" t="n"/>
      <c r="D913" s="10" t="n"/>
      <c r="E913" s="10" t="n"/>
      <c r="F913" s="13" t="n"/>
      <c r="G913" s="10" t="n"/>
      <c r="H913" s="10" t="n"/>
      <c r="I913" s="10" t="n"/>
      <c r="J913" s="10" t="n"/>
      <c r="K913" s="10">
        <f>IF(A913="","",TEXT(A913,"yyyy-mm"))</f>
        <v/>
      </c>
      <c r="L913" s="10">
        <f>IF(A913="","",WEEKNUM(A913))</f>
        <v/>
      </c>
      <c r="M913" s="10">
        <f>IF(A913="","",IF(COUNTIFS(A:A,A913,B:B,B913,F:F,F913)&gt;1,"⚠ Possible Duplicate",""))</f>
        <v/>
      </c>
      <c r="N913" s="10" t="n"/>
    </row>
    <row r="914">
      <c r="A914" s="10" t="n"/>
      <c r="B914" s="10" t="n"/>
      <c r="C914" s="10" t="n"/>
      <c r="D914" s="10" t="n"/>
      <c r="E914" s="10" t="n"/>
      <c r="F914" s="13" t="n"/>
      <c r="G914" s="10" t="n"/>
      <c r="H914" s="10" t="n"/>
      <c r="I914" s="10" t="n"/>
      <c r="J914" s="10" t="n"/>
      <c r="K914" s="10">
        <f>IF(A914="","",TEXT(A914,"yyyy-mm"))</f>
        <v/>
      </c>
      <c r="L914" s="10">
        <f>IF(A914="","",WEEKNUM(A914))</f>
        <v/>
      </c>
      <c r="M914" s="10">
        <f>IF(A914="","",IF(COUNTIFS(A:A,A914,B:B,B914,F:F,F914)&gt;1,"⚠ Possible Duplicate",""))</f>
        <v/>
      </c>
      <c r="N914" s="10" t="n"/>
    </row>
    <row r="915">
      <c r="A915" s="10" t="n"/>
      <c r="B915" s="10" t="n"/>
      <c r="C915" s="10" t="n"/>
      <c r="D915" s="10" t="n"/>
      <c r="E915" s="10" t="n"/>
      <c r="F915" s="13" t="n"/>
      <c r="G915" s="10" t="n"/>
      <c r="H915" s="10" t="n"/>
      <c r="I915" s="10" t="n"/>
      <c r="J915" s="10" t="n"/>
      <c r="K915" s="10">
        <f>IF(A915="","",TEXT(A915,"yyyy-mm"))</f>
        <v/>
      </c>
      <c r="L915" s="10">
        <f>IF(A915="","",WEEKNUM(A915))</f>
        <v/>
      </c>
      <c r="M915" s="10">
        <f>IF(A915="","",IF(COUNTIFS(A:A,A915,B:B,B915,F:F,F915)&gt;1,"⚠ Possible Duplicate",""))</f>
        <v/>
      </c>
      <c r="N915" s="10" t="n"/>
    </row>
    <row r="916">
      <c r="A916" s="10" t="n"/>
      <c r="B916" s="10" t="n"/>
      <c r="C916" s="10" t="n"/>
      <c r="D916" s="10" t="n"/>
      <c r="E916" s="10" t="n"/>
      <c r="F916" s="13" t="n"/>
      <c r="G916" s="10" t="n"/>
      <c r="H916" s="10" t="n"/>
      <c r="I916" s="10" t="n"/>
      <c r="J916" s="10" t="n"/>
      <c r="K916" s="10">
        <f>IF(A916="","",TEXT(A916,"yyyy-mm"))</f>
        <v/>
      </c>
      <c r="L916" s="10">
        <f>IF(A916="","",WEEKNUM(A916))</f>
        <v/>
      </c>
      <c r="M916" s="10">
        <f>IF(A916="","",IF(COUNTIFS(A:A,A916,B:B,B916,F:F,F916)&gt;1,"⚠ Possible Duplicate",""))</f>
        <v/>
      </c>
      <c r="N916" s="10" t="n"/>
    </row>
    <row r="917">
      <c r="A917" s="10" t="n"/>
      <c r="B917" s="10" t="n"/>
      <c r="C917" s="10" t="n"/>
      <c r="D917" s="10" t="n"/>
      <c r="E917" s="10" t="n"/>
      <c r="F917" s="13" t="n"/>
      <c r="G917" s="10" t="n"/>
      <c r="H917" s="10" t="n"/>
      <c r="I917" s="10" t="n"/>
      <c r="J917" s="10" t="n"/>
      <c r="K917" s="10">
        <f>IF(A917="","",TEXT(A917,"yyyy-mm"))</f>
        <v/>
      </c>
      <c r="L917" s="10">
        <f>IF(A917="","",WEEKNUM(A917))</f>
        <v/>
      </c>
      <c r="M917" s="10">
        <f>IF(A917="","",IF(COUNTIFS(A:A,A917,B:B,B917,F:F,F917)&gt;1,"⚠ Possible Duplicate",""))</f>
        <v/>
      </c>
      <c r="N917" s="10" t="n"/>
    </row>
    <row r="918">
      <c r="A918" s="10" t="n"/>
      <c r="B918" s="10" t="n"/>
      <c r="C918" s="10" t="n"/>
      <c r="D918" s="10" t="n"/>
      <c r="E918" s="10" t="n"/>
      <c r="F918" s="13" t="n"/>
      <c r="G918" s="10" t="n"/>
      <c r="H918" s="10" t="n"/>
      <c r="I918" s="10" t="n"/>
      <c r="J918" s="10" t="n"/>
      <c r="K918" s="10">
        <f>IF(A918="","",TEXT(A918,"yyyy-mm"))</f>
        <v/>
      </c>
      <c r="L918" s="10">
        <f>IF(A918="","",WEEKNUM(A918))</f>
        <v/>
      </c>
      <c r="M918" s="10">
        <f>IF(A918="","",IF(COUNTIFS(A:A,A918,B:B,B918,F:F,F918)&gt;1,"⚠ Possible Duplicate",""))</f>
        <v/>
      </c>
      <c r="N918" s="10" t="n"/>
    </row>
    <row r="919">
      <c r="A919" s="10" t="n"/>
      <c r="B919" s="10" t="n"/>
      <c r="C919" s="10" t="n"/>
      <c r="D919" s="10" t="n"/>
      <c r="E919" s="10" t="n"/>
      <c r="F919" s="13" t="n"/>
      <c r="G919" s="10" t="n"/>
      <c r="H919" s="10" t="n"/>
      <c r="I919" s="10" t="n"/>
      <c r="J919" s="10" t="n"/>
      <c r="K919" s="10">
        <f>IF(A919="","",TEXT(A919,"yyyy-mm"))</f>
        <v/>
      </c>
      <c r="L919" s="10">
        <f>IF(A919="","",WEEKNUM(A919))</f>
        <v/>
      </c>
      <c r="M919" s="10">
        <f>IF(A919="","",IF(COUNTIFS(A:A,A919,B:B,B919,F:F,F919)&gt;1,"⚠ Possible Duplicate",""))</f>
        <v/>
      </c>
      <c r="N919" s="10" t="n"/>
    </row>
    <row r="920">
      <c r="A920" s="10" t="n"/>
      <c r="B920" s="10" t="n"/>
      <c r="C920" s="10" t="n"/>
      <c r="D920" s="10" t="n"/>
      <c r="E920" s="10" t="n"/>
      <c r="F920" s="13" t="n"/>
      <c r="G920" s="10" t="n"/>
      <c r="H920" s="10" t="n"/>
      <c r="I920" s="10" t="n"/>
      <c r="J920" s="10" t="n"/>
      <c r="K920" s="10">
        <f>IF(A920="","",TEXT(A920,"yyyy-mm"))</f>
        <v/>
      </c>
      <c r="L920" s="10">
        <f>IF(A920="","",WEEKNUM(A920))</f>
        <v/>
      </c>
      <c r="M920" s="10">
        <f>IF(A920="","",IF(COUNTIFS(A:A,A920,B:B,B920,F:F,F920)&gt;1,"⚠ Possible Duplicate",""))</f>
        <v/>
      </c>
      <c r="N920" s="10" t="n"/>
    </row>
    <row r="921">
      <c r="A921" s="10" t="n"/>
      <c r="B921" s="10" t="n"/>
      <c r="C921" s="10" t="n"/>
      <c r="D921" s="10" t="n"/>
      <c r="E921" s="10" t="n"/>
      <c r="F921" s="13" t="n"/>
      <c r="G921" s="10" t="n"/>
      <c r="H921" s="10" t="n"/>
      <c r="I921" s="10" t="n"/>
      <c r="J921" s="10" t="n"/>
      <c r="K921" s="10">
        <f>IF(A921="","",TEXT(A921,"yyyy-mm"))</f>
        <v/>
      </c>
      <c r="L921" s="10">
        <f>IF(A921="","",WEEKNUM(A921))</f>
        <v/>
      </c>
      <c r="M921" s="10">
        <f>IF(A921="","",IF(COUNTIFS(A:A,A921,B:B,B921,F:F,F921)&gt;1,"⚠ Possible Duplicate",""))</f>
        <v/>
      </c>
      <c r="N921" s="10" t="n"/>
    </row>
    <row r="922">
      <c r="A922" s="10" t="n"/>
      <c r="B922" s="10" t="n"/>
      <c r="C922" s="10" t="n"/>
      <c r="D922" s="10" t="n"/>
      <c r="E922" s="10" t="n"/>
      <c r="F922" s="13" t="n"/>
      <c r="G922" s="10" t="n"/>
      <c r="H922" s="10" t="n"/>
      <c r="I922" s="10" t="n"/>
      <c r="J922" s="10" t="n"/>
      <c r="K922" s="10">
        <f>IF(A922="","",TEXT(A922,"yyyy-mm"))</f>
        <v/>
      </c>
      <c r="L922" s="10">
        <f>IF(A922="","",WEEKNUM(A922))</f>
        <v/>
      </c>
      <c r="M922" s="10">
        <f>IF(A922="","",IF(COUNTIFS(A:A,A922,B:B,B922,F:F,F922)&gt;1,"⚠ Possible Duplicate",""))</f>
        <v/>
      </c>
      <c r="N922" s="10" t="n"/>
    </row>
    <row r="923">
      <c r="A923" s="10" t="n"/>
      <c r="B923" s="10" t="n"/>
      <c r="C923" s="10" t="n"/>
      <c r="D923" s="10" t="n"/>
      <c r="E923" s="10" t="n"/>
      <c r="F923" s="13" t="n"/>
      <c r="G923" s="10" t="n"/>
      <c r="H923" s="10" t="n"/>
      <c r="I923" s="10" t="n"/>
      <c r="J923" s="10" t="n"/>
      <c r="K923" s="10">
        <f>IF(A923="","",TEXT(A923,"yyyy-mm"))</f>
        <v/>
      </c>
      <c r="L923" s="10">
        <f>IF(A923="","",WEEKNUM(A923))</f>
        <v/>
      </c>
      <c r="M923" s="10">
        <f>IF(A923="","",IF(COUNTIFS(A:A,A923,B:B,B923,F:F,F923)&gt;1,"⚠ Possible Duplicate",""))</f>
        <v/>
      </c>
      <c r="N923" s="10" t="n"/>
    </row>
    <row r="924">
      <c r="A924" s="10" t="n"/>
      <c r="B924" s="10" t="n"/>
      <c r="C924" s="10" t="n"/>
      <c r="D924" s="10" t="n"/>
      <c r="E924" s="10" t="n"/>
      <c r="F924" s="13" t="n"/>
      <c r="G924" s="10" t="n"/>
      <c r="H924" s="10" t="n"/>
      <c r="I924" s="10" t="n"/>
      <c r="J924" s="10" t="n"/>
      <c r="K924" s="10">
        <f>IF(A924="","",TEXT(A924,"yyyy-mm"))</f>
        <v/>
      </c>
      <c r="L924" s="10">
        <f>IF(A924="","",WEEKNUM(A924))</f>
        <v/>
      </c>
      <c r="M924" s="10">
        <f>IF(A924="","",IF(COUNTIFS(A:A,A924,B:B,B924,F:F,F924)&gt;1,"⚠ Possible Duplicate",""))</f>
        <v/>
      </c>
      <c r="N924" s="10" t="n"/>
    </row>
    <row r="925">
      <c r="A925" s="10" t="n"/>
      <c r="B925" s="10" t="n"/>
      <c r="C925" s="10" t="n"/>
      <c r="D925" s="10" t="n"/>
      <c r="E925" s="10" t="n"/>
      <c r="F925" s="13" t="n"/>
      <c r="G925" s="10" t="n"/>
      <c r="H925" s="10" t="n"/>
      <c r="I925" s="10" t="n"/>
      <c r="J925" s="10" t="n"/>
      <c r="K925" s="10">
        <f>IF(A925="","",TEXT(A925,"yyyy-mm"))</f>
        <v/>
      </c>
      <c r="L925" s="10">
        <f>IF(A925="","",WEEKNUM(A925))</f>
        <v/>
      </c>
      <c r="M925" s="10">
        <f>IF(A925="","",IF(COUNTIFS(A:A,A925,B:B,B925,F:F,F925)&gt;1,"⚠ Possible Duplicate",""))</f>
        <v/>
      </c>
      <c r="N925" s="10" t="n"/>
    </row>
    <row r="926">
      <c r="A926" s="10" t="n"/>
      <c r="B926" s="10" t="n"/>
      <c r="C926" s="10" t="n"/>
      <c r="D926" s="10" t="n"/>
      <c r="E926" s="10" t="n"/>
      <c r="F926" s="13" t="n"/>
      <c r="G926" s="10" t="n"/>
      <c r="H926" s="10" t="n"/>
      <c r="I926" s="10" t="n"/>
      <c r="J926" s="10" t="n"/>
      <c r="K926" s="10">
        <f>IF(A926="","",TEXT(A926,"yyyy-mm"))</f>
        <v/>
      </c>
      <c r="L926" s="10">
        <f>IF(A926="","",WEEKNUM(A926))</f>
        <v/>
      </c>
      <c r="M926" s="10">
        <f>IF(A926="","",IF(COUNTIFS(A:A,A926,B:B,B926,F:F,F926)&gt;1,"⚠ Possible Duplicate",""))</f>
        <v/>
      </c>
      <c r="N926" s="10" t="n"/>
    </row>
    <row r="927">
      <c r="A927" s="10" t="n"/>
      <c r="B927" s="10" t="n"/>
      <c r="C927" s="10" t="n"/>
      <c r="D927" s="10" t="n"/>
      <c r="E927" s="10" t="n"/>
      <c r="F927" s="13" t="n"/>
      <c r="G927" s="10" t="n"/>
      <c r="H927" s="10" t="n"/>
      <c r="I927" s="10" t="n"/>
      <c r="J927" s="10" t="n"/>
      <c r="K927" s="10">
        <f>IF(A927="","",TEXT(A927,"yyyy-mm"))</f>
        <v/>
      </c>
      <c r="L927" s="10">
        <f>IF(A927="","",WEEKNUM(A927))</f>
        <v/>
      </c>
      <c r="M927" s="10">
        <f>IF(A927="","",IF(COUNTIFS(A:A,A927,B:B,B927,F:F,F927)&gt;1,"⚠ Possible Duplicate",""))</f>
        <v/>
      </c>
      <c r="N927" s="10" t="n"/>
    </row>
    <row r="928">
      <c r="A928" s="10" t="n"/>
      <c r="B928" s="10" t="n"/>
      <c r="C928" s="10" t="n"/>
      <c r="D928" s="10" t="n"/>
      <c r="E928" s="10" t="n"/>
      <c r="F928" s="13" t="n"/>
      <c r="G928" s="10" t="n"/>
      <c r="H928" s="10" t="n"/>
      <c r="I928" s="10" t="n"/>
      <c r="J928" s="10" t="n"/>
      <c r="K928" s="10">
        <f>IF(A928="","",TEXT(A928,"yyyy-mm"))</f>
        <v/>
      </c>
      <c r="L928" s="10">
        <f>IF(A928="","",WEEKNUM(A928))</f>
        <v/>
      </c>
      <c r="M928" s="10">
        <f>IF(A928="","",IF(COUNTIFS(A:A,A928,B:B,B928,F:F,F928)&gt;1,"⚠ Possible Duplicate",""))</f>
        <v/>
      </c>
      <c r="N928" s="10" t="n"/>
    </row>
    <row r="929">
      <c r="A929" s="10" t="n"/>
      <c r="B929" s="10" t="n"/>
      <c r="C929" s="10" t="n"/>
      <c r="D929" s="10" t="n"/>
      <c r="E929" s="10" t="n"/>
      <c r="F929" s="13" t="n"/>
      <c r="G929" s="10" t="n"/>
      <c r="H929" s="10" t="n"/>
      <c r="I929" s="10" t="n"/>
      <c r="J929" s="10" t="n"/>
      <c r="K929" s="10">
        <f>IF(A929="","",TEXT(A929,"yyyy-mm"))</f>
        <v/>
      </c>
      <c r="L929" s="10">
        <f>IF(A929="","",WEEKNUM(A929))</f>
        <v/>
      </c>
      <c r="M929" s="10">
        <f>IF(A929="","",IF(COUNTIFS(A:A,A929,B:B,B929,F:F,F929)&gt;1,"⚠ Possible Duplicate",""))</f>
        <v/>
      </c>
      <c r="N929" s="10" t="n"/>
    </row>
    <row r="930">
      <c r="A930" s="10" t="n"/>
      <c r="B930" s="10" t="n"/>
      <c r="C930" s="10" t="n"/>
      <c r="D930" s="10" t="n"/>
      <c r="E930" s="10" t="n"/>
      <c r="F930" s="13" t="n"/>
      <c r="G930" s="10" t="n"/>
      <c r="H930" s="10" t="n"/>
      <c r="I930" s="10" t="n"/>
      <c r="J930" s="10" t="n"/>
      <c r="K930" s="10">
        <f>IF(A930="","",TEXT(A930,"yyyy-mm"))</f>
        <v/>
      </c>
      <c r="L930" s="10">
        <f>IF(A930="","",WEEKNUM(A930))</f>
        <v/>
      </c>
      <c r="M930" s="10">
        <f>IF(A930="","",IF(COUNTIFS(A:A,A930,B:B,B930,F:F,F930)&gt;1,"⚠ Possible Duplicate",""))</f>
        <v/>
      </c>
      <c r="N930" s="10" t="n"/>
    </row>
    <row r="931">
      <c r="A931" s="10" t="n"/>
      <c r="B931" s="10" t="n"/>
      <c r="C931" s="10" t="n"/>
      <c r="D931" s="10" t="n"/>
      <c r="E931" s="10" t="n"/>
      <c r="F931" s="13" t="n"/>
      <c r="G931" s="10" t="n"/>
      <c r="H931" s="10" t="n"/>
      <c r="I931" s="10" t="n"/>
      <c r="J931" s="10" t="n"/>
      <c r="K931" s="10">
        <f>IF(A931="","",TEXT(A931,"yyyy-mm"))</f>
        <v/>
      </c>
      <c r="L931" s="10">
        <f>IF(A931="","",WEEKNUM(A931))</f>
        <v/>
      </c>
      <c r="M931" s="10">
        <f>IF(A931="","",IF(COUNTIFS(A:A,A931,B:B,B931,F:F,F931)&gt;1,"⚠ Possible Duplicate",""))</f>
        <v/>
      </c>
      <c r="N931" s="10" t="n"/>
    </row>
    <row r="932">
      <c r="A932" s="10" t="n"/>
      <c r="B932" s="10" t="n"/>
      <c r="C932" s="10" t="n"/>
      <c r="D932" s="10" t="n"/>
      <c r="E932" s="10" t="n"/>
      <c r="F932" s="13" t="n"/>
      <c r="G932" s="10" t="n"/>
      <c r="H932" s="10" t="n"/>
      <c r="I932" s="10" t="n"/>
      <c r="J932" s="10" t="n"/>
      <c r="K932" s="10">
        <f>IF(A932="","",TEXT(A932,"yyyy-mm"))</f>
        <v/>
      </c>
      <c r="L932" s="10">
        <f>IF(A932="","",WEEKNUM(A932))</f>
        <v/>
      </c>
      <c r="M932" s="10">
        <f>IF(A932="","",IF(COUNTIFS(A:A,A932,B:B,B932,F:F,F932)&gt;1,"⚠ Possible Duplicate",""))</f>
        <v/>
      </c>
      <c r="N932" s="10" t="n"/>
    </row>
    <row r="933">
      <c r="A933" s="10" t="n"/>
      <c r="B933" s="10" t="n"/>
      <c r="C933" s="10" t="n"/>
      <c r="D933" s="10" t="n"/>
      <c r="E933" s="10" t="n"/>
      <c r="F933" s="13" t="n"/>
      <c r="G933" s="10" t="n"/>
      <c r="H933" s="10" t="n"/>
      <c r="I933" s="10" t="n"/>
      <c r="J933" s="10" t="n"/>
      <c r="K933" s="10">
        <f>IF(A933="","",TEXT(A933,"yyyy-mm"))</f>
        <v/>
      </c>
      <c r="L933" s="10">
        <f>IF(A933="","",WEEKNUM(A933))</f>
        <v/>
      </c>
      <c r="M933" s="10">
        <f>IF(A933="","",IF(COUNTIFS(A:A,A933,B:B,B933,F:F,F933)&gt;1,"⚠ Possible Duplicate",""))</f>
        <v/>
      </c>
      <c r="N933" s="10" t="n"/>
    </row>
    <row r="934">
      <c r="A934" s="10" t="n"/>
      <c r="B934" s="10" t="n"/>
      <c r="C934" s="10" t="n"/>
      <c r="D934" s="10" t="n"/>
      <c r="E934" s="10" t="n"/>
      <c r="F934" s="13" t="n"/>
      <c r="G934" s="10" t="n"/>
      <c r="H934" s="10" t="n"/>
      <c r="I934" s="10" t="n"/>
      <c r="J934" s="10" t="n"/>
      <c r="K934" s="10">
        <f>IF(A934="","",TEXT(A934,"yyyy-mm"))</f>
        <v/>
      </c>
      <c r="L934" s="10">
        <f>IF(A934="","",WEEKNUM(A934))</f>
        <v/>
      </c>
      <c r="M934" s="10">
        <f>IF(A934="","",IF(COUNTIFS(A:A,A934,B:B,B934,F:F,F934)&gt;1,"⚠ Possible Duplicate",""))</f>
        <v/>
      </c>
      <c r="N934" s="10" t="n"/>
    </row>
    <row r="935">
      <c r="A935" s="10" t="n"/>
      <c r="B935" s="10" t="n"/>
      <c r="C935" s="10" t="n"/>
      <c r="D935" s="10" t="n"/>
      <c r="E935" s="10" t="n"/>
      <c r="F935" s="13" t="n"/>
      <c r="G935" s="10" t="n"/>
      <c r="H935" s="10" t="n"/>
      <c r="I935" s="10" t="n"/>
      <c r="J935" s="10" t="n"/>
      <c r="K935" s="10">
        <f>IF(A935="","",TEXT(A935,"yyyy-mm"))</f>
        <v/>
      </c>
      <c r="L935" s="10">
        <f>IF(A935="","",WEEKNUM(A935))</f>
        <v/>
      </c>
      <c r="M935" s="10">
        <f>IF(A935="","",IF(COUNTIFS(A:A,A935,B:B,B935,F:F,F935)&gt;1,"⚠ Possible Duplicate",""))</f>
        <v/>
      </c>
      <c r="N935" s="10" t="n"/>
    </row>
    <row r="936">
      <c r="A936" s="10" t="n"/>
      <c r="B936" s="10" t="n"/>
      <c r="C936" s="10" t="n"/>
      <c r="D936" s="10" t="n"/>
      <c r="E936" s="10" t="n"/>
      <c r="F936" s="13" t="n"/>
      <c r="G936" s="10" t="n"/>
      <c r="H936" s="10" t="n"/>
      <c r="I936" s="10" t="n"/>
      <c r="J936" s="10" t="n"/>
      <c r="K936" s="10">
        <f>IF(A936="","",TEXT(A936,"yyyy-mm"))</f>
        <v/>
      </c>
      <c r="L936" s="10">
        <f>IF(A936="","",WEEKNUM(A936))</f>
        <v/>
      </c>
      <c r="M936" s="10">
        <f>IF(A936="","",IF(COUNTIFS(A:A,A936,B:B,B936,F:F,F936)&gt;1,"⚠ Possible Duplicate",""))</f>
        <v/>
      </c>
      <c r="N936" s="10" t="n"/>
    </row>
    <row r="937">
      <c r="A937" s="10" t="n"/>
      <c r="B937" s="10" t="n"/>
      <c r="C937" s="10" t="n"/>
      <c r="D937" s="10" t="n"/>
      <c r="E937" s="10" t="n"/>
      <c r="F937" s="13" t="n"/>
      <c r="G937" s="10" t="n"/>
      <c r="H937" s="10" t="n"/>
      <c r="I937" s="10" t="n"/>
      <c r="J937" s="10" t="n"/>
      <c r="K937" s="10">
        <f>IF(A937="","",TEXT(A937,"yyyy-mm"))</f>
        <v/>
      </c>
      <c r="L937" s="10">
        <f>IF(A937="","",WEEKNUM(A937))</f>
        <v/>
      </c>
      <c r="M937" s="10">
        <f>IF(A937="","",IF(COUNTIFS(A:A,A937,B:B,B937,F:F,F937)&gt;1,"⚠ Possible Duplicate",""))</f>
        <v/>
      </c>
      <c r="N937" s="10" t="n"/>
    </row>
    <row r="938">
      <c r="A938" s="10" t="n"/>
      <c r="B938" s="10" t="n"/>
      <c r="C938" s="10" t="n"/>
      <c r="D938" s="10" t="n"/>
      <c r="E938" s="10" t="n"/>
      <c r="F938" s="13" t="n"/>
      <c r="G938" s="10" t="n"/>
      <c r="H938" s="10" t="n"/>
      <c r="I938" s="10" t="n"/>
      <c r="J938" s="10" t="n"/>
      <c r="K938" s="10">
        <f>IF(A938="","",TEXT(A938,"yyyy-mm"))</f>
        <v/>
      </c>
      <c r="L938" s="10">
        <f>IF(A938="","",WEEKNUM(A938))</f>
        <v/>
      </c>
      <c r="M938" s="10">
        <f>IF(A938="","",IF(COUNTIFS(A:A,A938,B:B,B938,F:F,F938)&gt;1,"⚠ Possible Duplicate",""))</f>
        <v/>
      </c>
      <c r="N938" s="10" t="n"/>
    </row>
    <row r="939">
      <c r="A939" s="10" t="n"/>
      <c r="B939" s="10" t="n"/>
      <c r="C939" s="10" t="n"/>
      <c r="D939" s="10" t="n"/>
      <c r="E939" s="10" t="n"/>
      <c r="F939" s="13" t="n"/>
      <c r="G939" s="10" t="n"/>
      <c r="H939" s="10" t="n"/>
      <c r="I939" s="10" t="n"/>
      <c r="J939" s="10" t="n"/>
      <c r="K939" s="10">
        <f>IF(A939="","",TEXT(A939,"yyyy-mm"))</f>
        <v/>
      </c>
      <c r="L939" s="10">
        <f>IF(A939="","",WEEKNUM(A939))</f>
        <v/>
      </c>
      <c r="M939" s="10">
        <f>IF(A939="","",IF(COUNTIFS(A:A,A939,B:B,B939,F:F,F939)&gt;1,"⚠ Possible Duplicate",""))</f>
        <v/>
      </c>
      <c r="N939" s="10" t="n"/>
    </row>
    <row r="940">
      <c r="A940" s="10" t="n"/>
      <c r="B940" s="10" t="n"/>
      <c r="C940" s="10" t="n"/>
      <c r="D940" s="10" t="n"/>
      <c r="E940" s="10" t="n"/>
      <c r="F940" s="13" t="n"/>
      <c r="G940" s="10" t="n"/>
      <c r="H940" s="10" t="n"/>
      <c r="I940" s="10" t="n"/>
      <c r="J940" s="10" t="n"/>
      <c r="K940" s="10">
        <f>IF(A940="","",TEXT(A940,"yyyy-mm"))</f>
        <v/>
      </c>
      <c r="L940" s="10">
        <f>IF(A940="","",WEEKNUM(A940))</f>
        <v/>
      </c>
      <c r="M940" s="10">
        <f>IF(A940="","",IF(COUNTIFS(A:A,A940,B:B,B940,F:F,F940)&gt;1,"⚠ Possible Duplicate",""))</f>
        <v/>
      </c>
      <c r="N940" s="10" t="n"/>
    </row>
    <row r="941">
      <c r="A941" s="10" t="n"/>
      <c r="B941" s="10" t="n"/>
      <c r="C941" s="10" t="n"/>
      <c r="D941" s="10" t="n"/>
      <c r="E941" s="10" t="n"/>
      <c r="F941" s="13" t="n"/>
      <c r="G941" s="10" t="n"/>
      <c r="H941" s="10" t="n"/>
      <c r="I941" s="10" t="n"/>
      <c r="J941" s="10" t="n"/>
      <c r="K941" s="10">
        <f>IF(A941="","",TEXT(A941,"yyyy-mm"))</f>
        <v/>
      </c>
      <c r="L941" s="10">
        <f>IF(A941="","",WEEKNUM(A941))</f>
        <v/>
      </c>
      <c r="M941" s="10">
        <f>IF(A941="","",IF(COUNTIFS(A:A,A941,B:B,B941,F:F,F941)&gt;1,"⚠ Possible Duplicate",""))</f>
        <v/>
      </c>
      <c r="N941" s="10" t="n"/>
    </row>
    <row r="942">
      <c r="A942" s="10" t="n"/>
      <c r="B942" s="10" t="n"/>
      <c r="C942" s="10" t="n"/>
      <c r="D942" s="10" t="n"/>
      <c r="E942" s="10" t="n"/>
      <c r="F942" s="13" t="n"/>
      <c r="G942" s="10" t="n"/>
      <c r="H942" s="10" t="n"/>
      <c r="I942" s="10" t="n"/>
      <c r="J942" s="10" t="n"/>
      <c r="K942" s="10">
        <f>IF(A942="","",TEXT(A942,"yyyy-mm"))</f>
        <v/>
      </c>
      <c r="L942" s="10">
        <f>IF(A942="","",WEEKNUM(A942))</f>
        <v/>
      </c>
      <c r="M942" s="10">
        <f>IF(A942="","",IF(COUNTIFS(A:A,A942,B:B,B942,F:F,F942)&gt;1,"⚠ Possible Duplicate",""))</f>
        <v/>
      </c>
      <c r="N942" s="10" t="n"/>
    </row>
    <row r="943">
      <c r="A943" s="10" t="n"/>
      <c r="B943" s="10" t="n"/>
      <c r="C943" s="10" t="n"/>
      <c r="D943" s="10" t="n"/>
      <c r="E943" s="10" t="n"/>
      <c r="F943" s="13" t="n"/>
      <c r="G943" s="10" t="n"/>
      <c r="H943" s="10" t="n"/>
      <c r="I943" s="10" t="n"/>
      <c r="J943" s="10" t="n"/>
      <c r="K943" s="10">
        <f>IF(A943="","",TEXT(A943,"yyyy-mm"))</f>
        <v/>
      </c>
      <c r="L943" s="10">
        <f>IF(A943="","",WEEKNUM(A943))</f>
        <v/>
      </c>
      <c r="M943" s="10">
        <f>IF(A943="","",IF(COUNTIFS(A:A,A943,B:B,B943,F:F,F943)&gt;1,"⚠ Possible Duplicate",""))</f>
        <v/>
      </c>
      <c r="N943" s="10" t="n"/>
    </row>
    <row r="944">
      <c r="A944" s="10" t="n"/>
      <c r="B944" s="10" t="n"/>
      <c r="C944" s="10" t="n"/>
      <c r="D944" s="10" t="n"/>
      <c r="E944" s="10" t="n"/>
      <c r="F944" s="13" t="n"/>
      <c r="G944" s="10" t="n"/>
      <c r="H944" s="10" t="n"/>
      <c r="I944" s="10" t="n"/>
      <c r="J944" s="10" t="n"/>
      <c r="K944" s="10">
        <f>IF(A944="","",TEXT(A944,"yyyy-mm"))</f>
        <v/>
      </c>
      <c r="L944" s="10">
        <f>IF(A944="","",WEEKNUM(A944))</f>
        <v/>
      </c>
      <c r="M944" s="10">
        <f>IF(A944="","",IF(COUNTIFS(A:A,A944,B:B,B944,F:F,F944)&gt;1,"⚠ Possible Duplicate",""))</f>
        <v/>
      </c>
      <c r="N944" s="10" t="n"/>
    </row>
    <row r="945">
      <c r="A945" s="10" t="n"/>
      <c r="B945" s="10" t="n"/>
      <c r="C945" s="10" t="n"/>
      <c r="D945" s="10" t="n"/>
      <c r="E945" s="10" t="n"/>
      <c r="F945" s="13" t="n"/>
      <c r="G945" s="10" t="n"/>
      <c r="H945" s="10" t="n"/>
      <c r="I945" s="10" t="n"/>
      <c r="J945" s="10" t="n"/>
      <c r="K945" s="10">
        <f>IF(A945="","",TEXT(A945,"yyyy-mm"))</f>
        <v/>
      </c>
      <c r="L945" s="10">
        <f>IF(A945="","",WEEKNUM(A945))</f>
        <v/>
      </c>
      <c r="M945" s="10">
        <f>IF(A945="","",IF(COUNTIFS(A:A,A945,B:B,B945,F:F,F945)&gt;1,"⚠ Possible Duplicate",""))</f>
        <v/>
      </c>
      <c r="N945" s="10" t="n"/>
    </row>
    <row r="946">
      <c r="A946" s="10" t="n"/>
      <c r="B946" s="10" t="n"/>
      <c r="C946" s="10" t="n"/>
      <c r="D946" s="10" t="n"/>
      <c r="E946" s="10" t="n"/>
      <c r="F946" s="13" t="n"/>
      <c r="G946" s="10" t="n"/>
      <c r="H946" s="10" t="n"/>
      <c r="I946" s="10" t="n"/>
      <c r="J946" s="10" t="n"/>
      <c r="K946" s="10">
        <f>IF(A946="","",TEXT(A946,"yyyy-mm"))</f>
        <v/>
      </c>
      <c r="L946" s="10">
        <f>IF(A946="","",WEEKNUM(A946))</f>
        <v/>
      </c>
      <c r="M946" s="10">
        <f>IF(A946="","",IF(COUNTIFS(A:A,A946,B:B,B946,F:F,F946)&gt;1,"⚠ Possible Duplicate",""))</f>
        <v/>
      </c>
      <c r="N946" s="10" t="n"/>
    </row>
    <row r="947">
      <c r="A947" s="10" t="n"/>
      <c r="B947" s="10" t="n"/>
      <c r="C947" s="10" t="n"/>
      <c r="D947" s="10" t="n"/>
      <c r="E947" s="10" t="n"/>
      <c r="F947" s="13" t="n"/>
      <c r="G947" s="10" t="n"/>
      <c r="H947" s="10" t="n"/>
      <c r="I947" s="10" t="n"/>
      <c r="J947" s="10" t="n"/>
      <c r="K947" s="10">
        <f>IF(A947="","",TEXT(A947,"yyyy-mm"))</f>
        <v/>
      </c>
      <c r="L947" s="10">
        <f>IF(A947="","",WEEKNUM(A947))</f>
        <v/>
      </c>
      <c r="M947" s="10">
        <f>IF(A947="","",IF(COUNTIFS(A:A,A947,B:B,B947,F:F,F947)&gt;1,"⚠ Possible Duplicate",""))</f>
        <v/>
      </c>
      <c r="N947" s="10" t="n"/>
    </row>
    <row r="948">
      <c r="A948" s="10" t="n"/>
      <c r="B948" s="10" t="n"/>
      <c r="C948" s="10" t="n"/>
      <c r="D948" s="10" t="n"/>
      <c r="E948" s="10" t="n"/>
      <c r="F948" s="13" t="n"/>
      <c r="G948" s="10" t="n"/>
      <c r="H948" s="10" t="n"/>
      <c r="I948" s="10" t="n"/>
      <c r="J948" s="10" t="n"/>
      <c r="K948" s="10">
        <f>IF(A948="","",TEXT(A948,"yyyy-mm"))</f>
        <v/>
      </c>
      <c r="L948" s="10">
        <f>IF(A948="","",WEEKNUM(A948))</f>
        <v/>
      </c>
      <c r="M948" s="10">
        <f>IF(A948="","",IF(COUNTIFS(A:A,A948,B:B,B948,F:F,F948)&gt;1,"⚠ Possible Duplicate",""))</f>
        <v/>
      </c>
      <c r="N948" s="10" t="n"/>
    </row>
    <row r="949">
      <c r="A949" s="10" t="n"/>
      <c r="B949" s="10" t="n"/>
      <c r="C949" s="10" t="n"/>
      <c r="D949" s="10" t="n"/>
      <c r="E949" s="10" t="n"/>
      <c r="F949" s="13" t="n"/>
      <c r="G949" s="10" t="n"/>
      <c r="H949" s="10" t="n"/>
      <c r="I949" s="10" t="n"/>
      <c r="J949" s="10" t="n"/>
      <c r="K949" s="10">
        <f>IF(A949="","",TEXT(A949,"yyyy-mm"))</f>
        <v/>
      </c>
      <c r="L949" s="10">
        <f>IF(A949="","",WEEKNUM(A949))</f>
        <v/>
      </c>
      <c r="M949" s="10">
        <f>IF(A949="","",IF(COUNTIFS(A:A,A949,B:B,B949,F:F,F949)&gt;1,"⚠ Possible Duplicate",""))</f>
        <v/>
      </c>
      <c r="N949" s="10" t="n"/>
    </row>
    <row r="950">
      <c r="A950" s="10" t="n"/>
      <c r="B950" s="10" t="n"/>
      <c r="C950" s="10" t="n"/>
      <c r="D950" s="10" t="n"/>
      <c r="E950" s="10" t="n"/>
      <c r="F950" s="13" t="n"/>
      <c r="G950" s="10" t="n"/>
      <c r="H950" s="10" t="n"/>
      <c r="I950" s="10" t="n"/>
      <c r="J950" s="10" t="n"/>
      <c r="K950" s="10">
        <f>IF(A950="","",TEXT(A950,"yyyy-mm"))</f>
        <v/>
      </c>
      <c r="L950" s="10">
        <f>IF(A950="","",WEEKNUM(A950))</f>
        <v/>
      </c>
      <c r="M950" s="10">
        <f>IF(A950="","",IF(COUNTIFS(A:A,A950,B:B,B950,F:F,F950)&gt;1,"⚠ Possible Duplicate",""))</f>
        <v/>
      </c>
      <c r="N950" s="10" t="n"/>
    </row>
    <row r="951">
      <c r="A951" s="10" t="n"/>
      <c r="B951" s="10" t="n"/>
      <c r="C951" s="10" t="n"/>
      <c r="D951" s="10" t="n"/>
      <c r="E951" s="10" t="n"/>
      <c r="F951" s="13" t="n"/>
      <c r="G951" s="10" t="n"/>
      <c r="H951" s="10" t="n"/>
      <c r="I951" s="10" t="n"/>
      <c r="J951" s="10" t="n"/>
      <c r="K951" s="10">
        <f>IF(A951="","",TEXT(A951,"yyyy-mm"))</f>
        <v/>
      </c>
      <c r="L951" s="10">
        <f>IF(A951="","",WEEKNUM(A951))</f>
        <v/>
      </c>
      <c r="M951" s="10">
        <f>IF(A951="","",IF(COUNTIFS(A:A,A951,B:B,B951,F:F,F951)&gt;1,"⚠ Possible Duplicate",""))</f>
        <v/>
      </c>
      <c r="N951" s="10" t="n"/>
    </row>
    <row r="952">
      <c r="A952" s="10" t="n"/>
      <c r="B952" s="10" t="n"/>
      <c r="C952" s="10" t="n"/>
      <c r="D952" s="10" t="n"/>
      <c r="E952" s="10" t="n"/>
      <c r="F952" s="13" t="n"/>
      <c r="G952" s="10" t="n"/>
      <c r="H952" s="10" t="n"/>
      <c r="I952" s="10" t="n"/>
      <c r="J952" s="10" t="n"/>
      <c r="K952" s="10">
        <f>IF(A952="","",TEXT(A952,"yyyy-mm"))</f>
        <v/>
      </c>
      <c r="L952" s="10">
        <f>IF(A952="","",WEEKNUM(A952))</f>
        <v/>
      </c>
      <c r="M952" s="10">
        <f>IF(A952="","",IF(COUNTIFS(A:A,A952,B:B,B952,F:F,F952)&gt;1,"⚠ Possible Duplicate",""))</f>
        <v/>
      </c>
      <c r="N952" s="10" t="n"/>
    </row>
    <row r="953">
      <c r="A953" s="10" t="n"/>
      <c r="B953" s="10" t="n"/>
      <c r="C953" s="10" t="n"/>
      <c r="D953" s="10" t="n"/>
      <c r="E953" s="10" t="n"/>
      <c r="F953" s="13" t="n"/>
      <c r="G953" s="10" t="n"/>
      <c r="H953" s="10" t="n"/>
      <c r="I953" s="10" t="n"/>
      <c r="J953" s="10" t="n"/>
      <c r="K953" s="10">
        <f>IF(A953="","",TEXT(A953,"yyyy-mm"))</f>
        <v/>
      </c>
      <c r="L953" s="10">
        <f>IF(A953="","",WEEKNUM(A953))</f>
        <v/>
      </c>
      <c r="M953" s="10">
        <f>IF(A953="","",IF(COUNTIFS(A:A,A953,B:B,B953,F:F,F953)&gt;1,"⚠ Possible Duplicate",""))</f>
        <v/>
      </c>
      <c r="N953" s="10" t="n"/>
    </row>
    <row r="954">
      <c r="A954" s="10" t="n"/>
      <c r="B954" s="10" t="n"/>
      <c r="C954" s="10" t="n"/>
      <c r="D954" s="10" t="n"/>
      <c r="E954" s="10" t="n"/>
      <c r="F954" s="13" t="n"/>
      <c r="G954" s="10" t="n"/>
      <c r="H954" s="10" t="n"/>
      <c r="I954" s="10" t="n"/>
      <c r="J954" s="10" t="n"/>
      <c r="K954" s="10">
        <f>IF(A954="","",TEXT(A954,"yyyy-mm"))</f>
        <v/>
      </c>
      <c r="L954" s="10">
        <f>IF(A954="","",WEEKNUM(A954))</f>
        <v/>
      </c>
      <c r="M954" s="10">
        <f>IF(A954="","",IF(COUNTIFS(A:A,A954,B:B,B954,F:F,F954)&gt;1,"⚠ Possible Duplicate",""))</f>
        <v/>
      </c>
      <c r="N954" s="10" t="n"/>
    </row>
    <row r="955">
      <c r="A955" s="10" t="n"/>
      <c r="B955" s="10" t="n"/>
      <c r="C955" s="10" t="n"/>
      <c r="D955" s="10" t="n"/>
      <c r="E955" s="10" t="n"/>
      <c r="F955" s="13" t="n"/>
      <c r="G955" s="10" t="n"/>
      <c r="H955" s="10" t="n"/>
      <c r="I955" s="10" t="n"/>
      <c r="J955" s="10" t="n"/>
      <c r="K955" s="10">
        <f>IF(A955="","",TEXT(A955,"yyyy-mm"))</f>
        <v/>
      </c>
      <c r="L955" s="10">
        <f>IF(A955="","",WEEKNUM(A955))</f>
        <v/>
      </c>
      <c r="M955" s="10">
        <f>IF(A955="","",IF(COUNTIFS(A:A,A955,B:B,B955,F:F,F955)&gt;1,"⚠ Possible Duplicate",""))</f>
        <v/>
      </c>
      <c r="N955" s="10" t="n"/>
    </row>
    <row r="956">
      <c r="A956" s="10" t="n"/>
      <c r="B956" s="10" t="n"/>
      <c r="C956" s="10" t="n"/>
      <c r="D956" s="10" t="n"/>
      <c r="E956" s="10" t="n"/>
      <c r="F956" s="13" t="n"/>
      <c r="G956" s="10" t="n"/>
      <c r="H956" s="10" t="n"/>
      <c r="I956" s="10" t="n"/>
      <c r="J956" s="10" t="n"/>
      <c r="K956" s="10">
        <f>IF(A956="","",TEXT(A956,"yyyy-mm"))</f>
        <v/>
      </c>
      <c r="L956" s="10">
        <f>IF(A956="","",WEEKNUM(A956))</f>
        <v/>
      </c>
      <c r="M956" s="10">
        <f>IF(A956="","",IF(COUNTIFS(A:A,A956,B:B,B956,F:F,F956)&gt;1,"⚠ Possible Duplicate",""))</f>
        <v/>
      </c>
      <c r="N956" s="10" t="n"/>
    </row>
    <row r="957">
      <c r="A957" s="10" t="n"/>
      <c r="B957" s="10" t="n"/>
      <c r="C957" s="10" t="n"/>
      <c r="D957" s="10" t="n"/>
      <c r="E957" s="10" t="n"/>
      <c r="F957" s="13" t="n"/>
      <c r="G957" s="10" t="n"/>
      <c r="H957" s="10" t="n"/>
      <c r="I957" s="10" t="n"/>
      <c r="J957" s="10" t="n"/>
      <c r="K957" s="10">
        <f>IF(A957="","",TEXT(A957,"yyyy-mm"))</f>
        <v/>
      </c>
      <c r="L957" s="10">
        <f>IF(A957="","",WEEKNUM(A957))</f>
        <v/>
      </c>
      <c r="M957" s="10">
        <f>IF(A957="","",IF(COUNTIFS(A:A,A957,B:B,B957,F:F,F957)&gt;1,"⚠ Possible Duplicate",""))</f>
        <v/>
      </c>
      <c r="N957" s="10" t="n"/>
    </row>
    <row r="958">
      <c r="A958" s="10" t="n"/>
      <c r="B958" s="10" t="n"/>
      <c r="C958" s="10" t="n"/>
      <c r="D958" s="10" t="n"/>
      <c r="E958" s="10" t="n"/>
      <c r="F958" s="13" t="n"/>
      <c r="G958" s="10" t="n"/>
      <c r="H958" s="10" t="n"/>
      <c r="I958" s="10" t="n"/>
      <c r="J958" s="10" t="n"/>
      <c r="K958" s="10">
        <f>IF(A958="","",TEXT(A958,"yyyy-mm"))</f>
        <v/>
      </c>
      <c r="L958" s="10">
        <f>IF(A958="","",WEEKNUM(A958))</f>
        <v/>
      </c>
      <c r="M958" s="10">
        <f>IF(A958="","",IF(COUNTIFS(A:A,A958,B:B,B958,F:F,F958)&gt;1,"⚠ Possible Duplicate",""))</f>
        <v/>
      </c>
      <c r="N958" s="10" t="n"/>
    </row>
    <row r="959">
      <c r="A959" s="10" t="n"/>
      <c r="B959" s="10" t="n"/>
      <c r="C959" s="10" t="n"/>
      <c r="D959" s="10" t="n"/>
      <c r="E959" s="10" t="n"/>
      <c r="F959" s="13" t="n"/>
      <c r="G959" s="10" t="n"/>
      <c r="H959" s="10" t="n"/>
      <c r="I959" s="10" t="n"/>
      <c r="J959" s="10" t="n"/>
      <c r="K959" s="10">
        <f>IF(A959="","",TEXT(A959,"yyyy-mm"))</f>
        <v/>
      </c>
      <c r="L959" s="10">
        <f>IF(A959="","",WEEKNUM(A959))</f>
        <v/>
      </c>
      <c r="M959" s="10">
        <f>IF(A959="","",IF(COUNTIFS(A:A,A959,B:B,B959,F:F,F959)&gt;1,"⚠ Possible Duplicate",""))</f>
        <v/>
      </c>
      <c r="N959" s="10" t="n"/>
    </row>
    <row r="960">
      <c r="A960" s="10" t="n"/>
      <c r="B960" s="10" t="n"/>
      <c r="C960" s="10" t="n"/>
      <c r="D960" s="10" t="n"/>
      <c r="E960" s="10" t="n"/>
      <c r="F960" s="13" t="n"/>
      <c r="G960" s="10" t="n"/>
      <c r="H960" s="10" t="n"/>
      <c r="I960" s="10" t="n"/>
      <c r="J960" s="10" t="n"/>
      <c r="K960" s="10">
        <f>IF(A960="","",TEXT(A960,"yyyy-mm"))</f>
        <v/>
      </c>
      <c r="L960" s="10">
        <f>IF(A960="","",WEEKNUM(A960))</f>
        <v/>
      </c>
      <c r="M960" s="10">
        <f>IF(A960="","",IF(COUNTIFS(A:A,A960,B:B,B960,F:F,F960)&gt;1,"⚠ Possible Duplicate",""))</f>
        <v/>
      </c>
      <c r="N960" s="10" t="n"/>
    </row>
    <row r="961">
      <c r="A961" s="10" t="n"/>
      <c r="B961" s="10" t="n"/>
      <c r="C961" s="10" t="n"/>
      <c r="D961" s="10" t="n"/>
      <c r="E961" s="10" t="n"/>
      <c r="F961" s="13" t="n"/>
      <c r="G961" s="10" t="n"/>
      <c r="H961" s="10" t="n"/>
      <c r="I961" s="10" t="n"/>
      <c r="J961" s="10" t="n"/>
      <c r="K961" s="10">
        <f>IF(A961="","",TEXT(A961,"yyyy-mm"))</f>
        <v/>
      </c>
      <c r="L961" s="10">
        <f>IF(A961="","",WEEKNUM(A961))</f>
        <v/>
      </c>
      <c r="M961" s="10">
        <f>IF(A961="","",IF(COUNTIFS(A:A,A961,B:B,B961,F:F,F961)&gt;1,"⚠ Possible Duplicate",""))</f>
        <v/>
      </c>
      <c r="N961" s="10" t="n"/>
    </row>
    <row r="962">
      <c r="A962" s="10" t="n"/>
      <c r="B962" s="10" t="n"/>
      <c r="C962" s="10" t="n"/>
      <c r="D962" s="10" t="n"/>
      <c r="E962" s="10" t="n"/>
      <c r="F962" s="13" t="n"/>
      <c r="G962" s="10" t="n"/>
      <c r="H962" s="10" t="n"/>
      <c r="I962" s="10" t="n"/>
      <c r="J962" s="10" t="n"/>
      <c r="K962" s="10">
        <f>IF(A962="","",TEXT(A962,"yyyy-mm"))</f>
        <v/>
      </c>
      <c r="L962" s="10">
        <f>IF(A962="","",WEEKNUM(A962))</f>
        <v/>
      </c>
      <c r="M962" s="10">
        <f>IF(A962="","",IF(COUNTIFS(A:A,A962,B:B,B962,F:F,F962)&gt;1,"⚠ Possible Duplicate",""))</f>
        <v/>
      </c>
      <c r="N962" s="10" t="n"/>
    </row>
    <row r="963">
      <c r="A963" s="10" t="n"/>
      <c r="B963" s="10" t="n"/>
      <c r="C963" s="10" t="n"/>
      <c r="D963" s="10" t="n"/>
      <c r="E963" s="10" t="n"/>
      <c r="F963" s="13" t="n"/>
      <c r="G963" s="10" t="n"/>
      <c r="H963" s="10" t="n"/>
      <c r="I963" s="10" t="n"/>
      <c r="J963" s="10" t="n"/>
      <c r="K963" s="10">
        <f>IF(A963="","",TEXT(A963,"yyyy-mm"))</f>
        <v/>
      </c>
      <c r="L963" s="10">
        <f>IF(A963="","",WEEKNUM(A963))</f>
        <v/>
      </c>
      <c r="M963" s="10">
        <f>IF(A963="","",IF(COUNTIFS(A:A,A963,B:B,B963,F:F,F963)&gt;1,"⚠ Possible Duplicate",""))</f>
        <v/>
      </c>
      <c r="N963" s="10" t="n"/>
    </row>
    <row r="964">
      <c r="A964" s="10" t="n"/>
      <c r="B964" s="10" t="n"/>
      <c r="C964" s="10" t="n"/>
      <c r="D964" s="10" t="n"/>
      <c r="E964" s="10" t="n"/>
      <c r="F964" s="13" t="n"/>
      <c r="G964" s="10" t="n"/>
      <c r="H964" s="10" t="n"/>
      <c r="I964" s="10" t="n"/>
      <c r="J964" s="10" t="n"/>
      <c r="K964" s="10">
        <f>IF(A964="","",TEXT(A964,"yyyy-mm"))</f>
        <v/>
      </c>
      <c r="L964" s="10">
        <f>IF(A964="","",WEEKNUM(A964))</f>
        <v/>
      </c>
      <c r="M964" s="10">
        <f>IF(A964="","",IF(COUNTIFS(A:A,A964,B:B,B964,F:F,F964)&gt;1,"⚠ Possible Duplicate",""))</f>
        <v/>
      </c>
      <c r="N964" s="10" t="n"/>
    </row>
    <row r="965">
      <c r="A965" s="10" t="n"/>
      <c r="B965" s="10" t="n"/>
      <c r="C965" s="10" t="n"/>
      <c r="D965" s="10" t="n"/>
      <c r="E965" s="10" t="n"/>
      <c r="F965" s="13" t="n"/>
      <c r="G965" s="10" t="n"/>
      <c r="H965" s="10" t="n"/>
      <c r="I965" s="10" t="n"/>
      <c r="J965" s="10" t="n"/>
      <c r="K965" s="10">
        <f>IF(A965="","",TEXT(A965,"yyyy-mm"))</f>
        <v/>
      </c>
      <c r="L965" s="10">
        <f>IF(A965="","",WEEKNUM(A965))</f>
        <v/>
      </c>
      <c r="M965" s="10">
        <f>IF(A965="","",IF(COUNTIFS(A:A,A965,B:B,B965,F:F,F965)&gt;1,"⚠ Possible Duplicate",""))</f>
        <v/>
      </c>
      <c r="N965" s="10" t="n"/>
    </row>
    <row r="966">
      <c r="A966" s="10" t="n"/>
      <c r="B966" s="10" t="n"/>
      <c r="C966" s="10" t="n"/>
      <c r="D966" s="10" t="n"/>
      <c r="E966" s="10" t="n"/>
      <c r="F966" s="13" t="n"/>
      <c r="G966" s="10" t="n"/>
      <c r="H966" s="10" t="n"/>
      <c r="I966" s="10" t="n"/>
      <c r="J966" s="10" t="n"/>
      <c r="K966" s="10">
        <f>IF(A966="","",TEXT(A966,"yyyy-mm"))</f>
        <v/>
      </c>
      <c r="L966" s="10">
        <f>IF(A966="","",WEEKNUM(A966))</f>
        <v/>
      </c>
      <c r="M966" s="10">
        <f>IF(A966="","",IF(COUNTIFS(A:A,A966,B:B,B966,F:F,F966)&gt;1,"⚠ Possible Duplicate",""))</f>
        <v/>
      </c>
      <c r="N966" s="10" t="n"/>
    </row>
    <row r="967">
      <c r="A967" s="10" t="n"/>
      <c r="B967" s="10" t="n"/>
      <c r="C967" s="10" t="n"/>
      <c r="D967" s="10" t="n"/>
      <c r="E967" s="10" t="n"/>
      <c r="F967" s="13" t="n"/>
      <c r="G967" s="10" t="n"/>
      <c r="H967" s="10" t="n"/>
      <c r="I967" s="10" t="n"/>
      <c r="J967" s="10" t="n"/>
      <c r="K967" s="10">
        <f>IF(A967="","",TEXT(A967,"yyyy-mm"))</f>
        <v/>
      </c>
      <c r="L967" s="10">
        <f>IF(A967="","",WEEKNUM(A967))</f>
        <v/>
      </c>
      <c r="M967" s="10">
        <f>IF(A967="","",IF(COUNTIFS(A:A,A967,B:B,B967,F:F,F967)&gt;1,"⚠ Possible Duplicate",""))</f>
        <v/>
      </c>
      <c r="N967" s="10" t="n"/>
    </row>
    <row r="968">
      <c r="A968" s="10" t="n"/>
      <c r="B968" s="10" t="n"/>
      <c r="C968" s="10" t="n"/>
      <c r="D968" s="10" t="n"/>
      <c r="E968" s="10" t="n"/>
      <c r="F968" s="13" t="n"/>
      <c r="G968" s="10" t="n"/>
      <c r="H968" s="10" t="n"/>
      <c r="I968" s="10" t="n"/>
      <c r="J968" s="10" t="n"/>
      <c r="K968" s="10">
        <f>IF(A968="","",TEXT(A968,"yyyy-mm"))</f>
        <v/>
      </c>
      <c r="L968" s="10">
        <f>IF(A968="","",WEEKNUM(A968))</f>
        <v/>
      </c>
      <c r="M968" s="10">
        <f>IF(A968="","",IF(COUNTIFS(A:A,A968,B:B,B968,F:F,F968)&gt;1,"⚠ Possible Duplicate",""))</f>
        <v/>
      </c>
      <c r="N968" s="10" t="n"/>
    </row>
    <row r="969">
      <c r="A969" s="10" t="n"/>
      <c r="B969" s="10" t="n"/>
      <c r="C969" s="10" t="n"/>
      <c r="D969" s="10" t="n"/>
      <c r="E969" s="10" t="n"/>
      <c r="F969" s="13" t="n"/>
      <c r="G969" s="10" t="n"/>
      <c r="H969" s="10" t="n"/>
      <c r="I969" s="10" t="n"/>
      <c r="J969" s="10" t="n"/>
      <c r="K969" s="10">
        <f>IF(A969="","",TEXT(A969,"yyyy-mm"))</f>
        <v/>
      </c>
      <c r="L969" s="10">
        <f>IF(A969="","",WEEKNUM(A969))</f>
        <v/>
      </c>
      <c r="M969" s="10">
        <f>IF(A969="","",IF(COUNTIFS(A:A,A969,B:B,B969,F:F,F969)&gt;1,"⚠ Possible Duplicate",""))</f>
        <v/>
      </c>
      <c r="N969" s="10" t="n"/>
    </row>
    <row r="970">
      <c r="A970" s="10" t="n"/>
      <c r="B970" s="10" t="n"/>
      <c r="C970" s="10" t="n"/>
      <c r="D970" s="10" t="n"/>
      <c r="E970" s="10" t="n"/>
      <c r="F970" s="13" t="n"/>
      <c r="G970" s="10" t="n"/>
      <c r="H970" s="10" t="n"/>
      <c r="I970" s="10" t="n"/>
      <c r="J970" s="10" t="n"/>
      <c r="K970" s="10">
        <f>IF(A970="","",TEXT(A970,"yyyy-mm"))</f>
        <v/>
      </c>
      <c r="L970" s="10">
        <f>IF(A970="","",WEEKNUM(A970))</f>
        <v/>
      </c>
      <c r="M970" s="10">
        <f>IF(A970="","",IF(COUNTIFS(A:A,A970,B:B,B970,F:F,F970)&gt;1,"⚠ Possible Duplicate",""))</f>
        <v/>
      </c>
      <c r="N970" s="10" t="n"/>
    </row>
    <row r="971">
      <c r="A971" s="10" t="n"/>
      <c r="B971" s="10" t="n"/>
      <c r="C971" s="10" t="n"/>
      <c r="D971" s="10" t="n"/>
      <c r="E971" s="10" t="n"/>
      <c r="F971" s="13" t="n"/>
      <c r="G971" s="10" t="n"/>
      <c r="H971" s="10" t="n"/>
      <c r="I971" s="10" t="n"/>
      <c r="J971" s="10" t="n"/>
      <c r="K971" s="10">
        <f>IF(A971="","",TEXT(A971,"yyyy-mm"))</f>
        <v/>
      </c>
      <c r="L971" s="10">
        <f>IF(A971="","",WEEKNUM(A971))</f>
        <v/>
      </c>
      <c r="M971" s="10">
        <f>IF(A971="","",IF(COUNTIFS(A:A,A971,B:B,B971,F:F,F971)&gt;1,"⚠ Possible Duplicate",""))</f>
        <v/>
      </c>
      <c r="N971" s="10" t="n"/>
    </row>
    <row r="972">
      <c r="A972" s="10" t="n"/>
      <c r="B972" s="10" t="n"/>
      <c r="C972" s="10" t="n"/>
      <c r="D972" s="10" t="n"/>
      <c r="E972" s="10" t="n"/>
      <c r="F972" s="13" t="n"/>
      <c r="G972" s="10" t="n"/>
      <c r="H972" s="10" t="n"/>
      <c r="I972" s="10" t="n"/>
      <c r="J972" s="10" t="n"/>
      <c r="K972" s="10">
        <f>IF(A972="","",TEXT(A972,"yyyy-mm"))</f>
        <v/>
      </c>
      <c r="L972" s="10">
        <f>IF(A972="","",WEEKNUM(A972))</f>
        <v/>
      </c>
      <c r="M972" s="10">
        <f>IF(A972="","",IF(COUNTIFS(A:A,A972,B:B,B972,F:F,F972)&gt;1,"⚠ Possible Duplicate",""))</f>
        <v/>
      </c>
      <c r="N972" s="10" t="n"/>
    </row>
    <row r="973">
      <c r="A973" s="10" t="n"/>
      <c r="B973" s="10" t="n"/>
      <c r="C973" s="10" t="n"/>
      <c r="D973" s="10" t="n"/>
      <c r="E973" s="10" t="n"/>
      <c r="F973" s="13" t="n"/>
      <c r="G973" s="10" t="n"/>
      <c r="H973" s="10" t="n"/>
      <c r="I973" s="10" t="n"/>
      <c r="J973" s="10" t="n"/>
      <c r="K973" s="10">
        <f>IF(A973="","",TEXT(A973,"yyyy-mm"))</f>
        <v/>
      </c>
      <c r="L973" s="10">
        <f>IF(A973="","",WEEKNUM(A973))</f>
        <v/>
      </c>
      <c r="M973" s="10">
        <f>IF(A973="","",IF(COUNTIFS(A:A,A973,B:B,B973,F:F,F973)&gt;1,"⚠ Possible Duplicate",""))</f>
        <v/>
      </c>
      <c r="N973" s="10" t="n"/>
    </row>
    <row r="974">
      <c r="A974" s="10" t="n"/>
      <c r="B974" s="10" t="n"/>
      <c r="C974" s="10" t="n"/>
      <c r="D974" s="10" t="n"/>
      <c r="E974" s="10" t="n"/>
      <c r="F974" s="13" t="n"/>
      <c r="G974" s="10" t="n"/>
      <c r="H974" s="10" t="n"/>
      <c r="I974" s="10" t="n"/>
      <c r="J974" s="10" t="n"/>
      <c r="K974" s="10">
        <f>IF(A974="","",TEXT(A974,"yyyy-mm"))</f>
        <v/>
      </c>
      <c r="L974" s="10">
        <f>IF(A974="","",WEEKNUM(A974))</f>
        <v/>
      </c>
      <c r="M974" s="10">
        <f>IF(A974="","",IF(COUNTIFS(A:A,A974,B:B,B974,F:F,F974)&gt;1,"⚠ Possible Duplicate",""))</f>
        <v/>
      </c>
      <c r="N974" s="10" t="n"/>
    </row>
    <row r="975">
      <c r="A975" s="10" t="n"/>
      <c r="B975" s="10" t="n"/>
      <c r="C975" s="10" t="n"/>
      <c r="D975" s="10" t="n"/>
      <c r="E975" s="10" t="n"/>
      <c r="F975" s="13" t="n"/>
      <c r="G975" s="10" t="n"/>
      <c r="H975" s="10" t="n"/>
      <c r="I975" s="10" t="n"/>
      <c r="J975" s="10" t="n"/>
      <c r="K975" s="10">
        <f>IF(A975="","",TEXT(A975,"yyyy-mm"))</f>
        <v/>
      </c>
      <c r="L975" s="10">
        <f>IF(A975="","",WEEKNUM(A975))</f>
        <v/>
      </c>
      <c r="M975" s="10">
        <f>IF(A975="","",IF(COUNTIFS(A:A,A975,B:B,B975,F:F,F975)&gt;1,"⚠ Possible Duplicate",""))</f>
        <v/>
      </c>
      <c r="N975" s="10" t="n"/>
    </row>
    <row r="976">
      <c r="A976" s="10" t="n"/>
      <c r="B976" s="10" t="n"/>
      <c r="C976" s="10" t="n"/>
      <c r="D976" s="10" t="n"/>
      <c r="E976" s="10" t="n"/>
      <c r="F976" s="13" t="n"/>
      <c r="G976" s="10" t="n"/>
      <c r="H976" s="10" t="n"/>
      <c r="I976" s="10" t="n"/>
      <c r="J976" s="10" t="n"/>
      <c r="K976" s="10">
        <f>IF(A976="","",TEXT(A976,"yyyy-mm"))</f>
        <v/>
      </c>
      <c r="L976" s="10">
        <f>IF(A976="","",WEEKNUM(A976))</f>
        <v/>
      </c>
      <c r="M976" s="10">
        <f>IF(A976="","",IF(COUNTIFS(A:A,A976,B:B,B976,F:F,F976)&gt;1,"⚠ Possible Duplicate",""))</f>
        <v/>
      </c>
      <c r="N976" s="10" t="n"/>
    </row>
    <row r="977">
      <c r="A977" s="10" t="n"/>
      <c r="B977" s="10" t="n"/>
      <c r="C977" s="10" t="n"/>
      <c r="D977" s="10" t="n"/>
      <c r="E977" s="10" t="n"/>
      <c r="F977" s="13" t="n"/>
      <c r="G977" s="10" t="n"/>
      <c r="H977" s="10" t="n"/>
      <c r="I977" s="10" t="n"/>
      <c r="J977" s="10" t="n"/>
      <c r="K977" s="10">
        <f>IF(A977="","",TEXT(A977,"yyyy-mm"))</f>
        <v/>
      </c>
      <c r="L977" s="10">
        <f>IF(A977="","",WEEKNUM(A977))</f>
        <v/>
      </c>
      <c r="M977" s="10">
        <f>IF(A977="","",IF(COUNTIFS(A:A,A977,B:B,B977,F:F,F977)&gt;1,"⚠ Possible Duplicate",""))</f>
        <v/>
      </c>
      <c r="N977" s="10" t="n"/>
    </row>
    <row r="978">
      <c r="A978" s="10" t="n"/>
      <c r="B978" s="10" t="n"/>
      <c r="C978" s="10" t="n"/>
      <c r="D978" s="10" t="n"/>
      <c r="E978" s="10" t="n"/>
      <c r="F978" s="13" t="n"/>
      <c r="G978" s="10" t="n"/>
      <c r="H978" s="10" t="n"/>
      <c r="I978" s="10" t="n"/>
      <c r="J978" s="10" t="n"/>
      <c r="K978" s="10">
        <f>IF(A978="","",TEXT(A978,"yyyy-mm"))</f>
        <v/>
      </c>
      <c r="L978" s="10">
        <f>IF(A978="","",WEEKNUM(A978))</f>
        <v/>
      </c>
      <c r="M978" s="10">
        <f>IF(A978="","",IF(COUNTIFS(A:A,A978,B:B,B978,F:F,F978)&gt;1,"⚠ Possible Duplicate",""))</f>
        <v/>
      </c>
      <c r="N978" s="10" t="n"/>
    </row>
    <row r="979">
      <c r="A979" s="10" t="n"/>
      <c r="B979" s="10" t="n"/>
      <c r="C979" s="10" t="n"/>
      <c r="D979" s="10" t="n"/>
      <c r="E979" s="10" t="n"/>
      <c r="F979" s="13" t="n"/>
      <c r="G979" s="10" t="n"/>
      <c r="H979" s="10" t="n"/>
      <c r="I979" s="10" t="n"/>
      <c r="J979" s="10" t="n"/>
      <c r="K979" s="10">
        <f>IF(A979="","",TEXT(A979,"yyyy-mm"))</f>
        <v/>
      </c>
      <c r="L979" s="10">
        <f>IF(A979="","",WEEKNUM(A979))</f>
        <v/>
      </c>
      <c r="M979" s="10">
        <f>IF(A979="","",IF(COUNTIFS(A:A,A979,B:B,B979,F:F,F979)&gt;1,"⚠ Possible Duplicate",""))</f>
        <v/>
      </c>
      <c r="N979" s="10" t="n"/>
    </row>
    <row r="980">
      <c r="A980" s="10" t="n"/>
      <c r="B980" s="10" t="n"/>
      <c r="C980" s="10" t="n"/>
      <c r="D980" s="10" t="n"/>
      <c r="E980" s="10" t="n"/>
      <c r="F980" s="13" t="n"/>
      <c r="G980" s="10" t="n"/>
      <c r="H980" s="10" t="n"/>
      <c r="I980" s="10" t="n"/>
      <c r="J980" s="10" t="n"/>
      <c r="K980" s="10">
        <f>IF(A980="","",TEXT(A980,"yyyy-mm"))</f>
        <v/>
      </c>
      <c r="L980" s="10">
        <f>IF(A980="","",WEEKNUM(A980))</f>
        <v/>
      </c>
      <c r="M980" s="10">
        <f>IF(A980="","",IF(COUNTIFS(A:A,A980,B:B,B980,F:F,F980)&gt;1,"⚠ Possible Duplicate",""))</f>
        <v/>
      </c>
      <c r="N980" s="10" t="n"/>
    </row>
    <row r="981">
      <c r="A981" s="10" t="n"/>
      <c r="B981" s="10" t="n"/>
      <c r="C981" s="10" t="n"/>
      <c r="D981" s="10" t="n"/>
      <c r="E981" s="10" t="n"/>
      <c r="F981" s="13" t="n"/>
      <c r="G981" s="10" t="n"/>
      <c r="H981" s="10" t="n"/>
      <c r="I981" s="10" t="n"/>
      <c r="J981" s="10" t="n"/>
      <c r="K981" s="10">
        <f>IF(A981="","",TEXT(A981,"yyyy-mm"))</f>
        <v/>
      </c>
      <c r="L981" s="10">
        <f>IF(A981="","",WEEKNUM(A981))</f>
        <v/>
      </c>
      <c r="M981" s="10">
        <f>IF(A981="","",IF(COUNTIFS(A:A,A981,B:B,B981,F:F,F981)&gt;1,"⚠ Possible Duplicate",""))</f>
        <v/>
      </c>
      <c r="N981" s="10" t="n"/>
    </row>
    <row r="982">
      <c r="A982" s="10" t="n"/>
      <c r="B982" s="10" t="n"/>
      <c r="C982" s="10" t="n"/>
      <c r="D982" s="10" t="n"/>
      <c r="E982" s="10" t="n"/>
      <c r="F982" s="13" t="n"/>
      <c r="G982" s="10" t="n"/>
      <c r="H982" s="10" t="n"/>
      <c r="I982" s="10" t="n"/>
      <c r="J982" s="10" t="n"/>
      <c r="K982" s="10">
        <f>IF(A982="","",TEXT(A982,"yyyy-mm"))</f>
        <v/>
      </c>
      <c r="L982" s="10">
        <f>IF(A982="","",WEEKNUM(A982))</f>
        <v/>
      </c>
      <c r="M982" s="10">
        <f>IF(A982="","",IF(COUNTIFS(A:A,A982,B:B,B982,F:F,F982)&gt;1,"⚠ Possible Duplicate",""))</f>
        <v/>
      </c>
      <c r="N982" s="10" t="n"/>
    </row>
    <row r="983">
      <c r="A983" s="10" t="n"/>
      <c r="B983" s="10" t="n"/>
      <c r="C983" s="10" t="n"/>
      <c r="D983" s="10" t="n"/>
      <c r="E983" s="10" t="n"/>
      <c r="F983" s="13" t="n"/>
      <c r="G983" s="10" t="n"/>
      <c r="H983" s="10" t="n"/>
      <c r="I983" s="10" t="n"/>
      <c r="J983" s="10" t="n"/>
      <c r="K983" s="10">
        <f>IF(A983="","",TEXT(A983,"yyyy-mm"))</f>
        <v/>
      </c>
      <c r="L983" s="10">
        <f>IF(A983="","",WEEKNUM(A983))</f>
        <v/>
      </c>
      <c r="M983" s="10">
        <f>IF(A983="","",IF(COUNTIFS(A:A,A983,B:B,B983,F:F,F983)&gt;1,"⚠ Possible Duplicate",""))</f>
        <v/>
      </c>
      <c r="N983" s="10" t="n"/>
    </row>
    <row r="984">
      <c r="A984" s="10" t="n"/>
      <c r="B984" s="10" t="n"/>
      <c r="C984" s="10" t="n"/>
      <c r="D984" s="10" t="n"/>
      <c r="E984" s="10" t="n"/>
      <c r="F984" s="13" t="n"/>
      <c r="G984" s="10" t="n"/>
      <c r="H984" s="10" t="n"/>
      <c r="I984" s="10" t="n"/>
      <c r="J984" s="10" t="n"/>
      <c r="K984" s="10">
        <f>IF(A984="","",TEXT(A984,"yyyy-mm"))</f>
        <v/>
      </c>
      <c r="L984" s="10">
        <f>IF(A984="","",WEEKNUM(A984))</f>
        <v/>
      </c>
      <c r="M984" s="10">
        <f>IF(A984="","",IF(COUNTIFS(A:A,A984,B:B,B984,F:F,F984)&gt;1,"⚠ Possible Duplicate",""))</f>
        <v/>
      </c>
      <c r="N984" s="10" t="n"/>
    </row>
    <row r="985">
      <c r="A985" s="10" t="n"/>
      <c r="B985" s="10" t="n"/>
      <c r="C985" s="10" t="n"/>
      <c r="D985" s="10" t="n"/>
      <c r="E985" s="10" t="n"/>
      <c r="F985" s="13" t="n"/>
      <c r="G985" s="10" t="n"/>
      <c r="H985" s="10" t="n"/>
      <c r="I985" s="10" t="n"/>
      <c r="J985" s="10" t="n"/>
      <c r="K985" s="10">
        <f>IF(A985="","",TEXT(A985,"yyyy-mm"))</f>
        <v/>
      </c>
      <c r="L985" s="10">
        <f>IF(A985="","",WEEKNUM(A985))</f>
        <v/>
      </c>
      <c r="M985" s="10">
        <f>IF(A985="","",IF(COUNTIFS(A:A,A985,B:B,B985,F:F,F985)&gt;1,"⚠ Possible Duplicate",""))</f>
        <v/>
      </c>
      <c r="N985" s="10" t="n"/>
    </row>
    <row r="986">
      <c r="A986" s="10" t="n"/>
      <c r="B986" s="10" t="n"/>
      <c r="C986" s="10" t="n"/>
      <c r="D986" s="10" t="n"/>
      <c r="E986" s="10" t="n"/>
      <c r="F986" s="13" t="n"/>
      <c r="G986" s="10" t="n"/>
      <c r="H986" s="10" t="n"/>
      <c r="I986" s="10" t="n"/>
      <c r="J986" s="10" t="n"/>
      <c r="K986" s="10">
        <f>IF(A986="","",TEXT(A986,"yyyy-mm"))</f>
        <v/>
      </c>
      <c r="L986" s="10">
        <f>IF(A986="","",WEEKNUM(A986))</f>
        <v/>
      </c>
      <c r="M986" s="10">
        <f>IF(A986="","",IF(COUNTIFS(A:A,A986,B:B,B986,F:F,F986)&gt;1,"⚠ Possible Duplicate",""))</f>
        <v/>
      </c>
      <c r="N986" s="10" t="n"/>
    </row>
    <row r="987">
      <c r="A987" s="10" t="n"/>
      <c r="B987" s="10" t="n"/>
      <c r="C987" s="10" t="n"/>
      <c r="D987" s="10" t="n"/>
      <c r="E987" s="10" t="n"/>
      <c r="F987" s="13" t="n"/>
      <c r="G987" s="10" t="n"/>
      <c r="H987" s="10" t="n"/>
      <c r="I987" s="10" t="n"/>
      <c r="J987" s="10" t="n"/>
      <c r="K987" s="10">
        <f>IF(A987="","",TEXT(A987,"yyyy-mm"))</f>
        <v/>
      </c>
      <c r="L987" s="10">
        <f>IF(A987="","",WEEKNUM(A987))</f>
        <v/>
      </c>
      <c r="M987" s="10">
        <f>IF(A987="","",IF(COUNTIFS(A:A,A987,B:B,B987,F:F,F987)&gt;1,"⚠ Possible Duplicate",""))</f>
        <v/>
      </c>
      <c r="N987" s="10" t="n"/>
    </row>
    <row r="988">
      <c r="A988" s="10" t="n"/>
      <c r="B988" s="10" t="n"/>
      <c r="C988" s="10" t="n"/>
      <c r="D988" s="10" t="n"/>
      <c r="E988" s="10" t="n"/>
      <c r="F988" s="13" t="n"/>
      <c r="G988" s="10" t="n"/>
      <c r="H988" s="10" t="n"/>
      <c r="I988" s="10" t="n"/>
      <c r="J988" s="10" t="n"/>
      <c r="K988" s="10">
        <f>IF(A988="","",TEXT(A988,"yyyy-mm"))</f>
        <v/>
      </c>
      <c r="L988" s="10">
        <f>IF(A988="","",WEEKNUM(A988))</f>
        <v/>
      </c>
      <c r="M988" s="10">
        <f>IF(A988="","",IF(COUNTIFS(A:A,A988,B:B,B988,F:F,F988)&gt;1,"⚠ Possible Duplicate",""))</f>
        <v/>
      </c>
      <c r="N988" s="10" t="n"/>
    </row>
    <row r="989">
      <c r="A989" s="10" t="n"/>
      <c r="B989" s="10" t="n"/>
      <c r="C989" s="10" t="n"/>
      <c r="D989" s="10" t="n"/>
      <c r="E989" s="10" t="n"/>
      <c r="F989" s="13" t="n"/>
      <c r="G989" s="10" t="n"/>
      <c r="H989" s="10" t="n"/>
      <c r="I989" s="10" t="n"/>
      <c r="J989" s="10" t="n"/>
      <c r="K989" s="10">
        <f>IF(A989="","",TEXT(A989,"yyyy-mm"))</f>
        <v/>
      </c>
      <c r="L989" s="10">
        <f>IF(A989="","",WEEKNUM(A989))</f>
        <v/>
      </c>
      <c r="M989" s="10">
        <f>IF(A989="","",IF(COUNTIFS(A:A,A989,B:B,B989,F:F,F989)&gt;1,"⚠ Possible Duplicate",""))</f>
        <v/>
      </c>
      <c r="N989" s="10" t="n"/>
    </row>
    <row r="990">
      <c r="A990" s="10" t="n"/>
      <c r="B990" s="10" t="n"/>
      <c r="C990" s="10" t="n"/>
      <c r="D990" s="10" t="n"/>
      <c r="E990" s="10" t="n"/>
      <c r="F990" s="13" t="n"/>
      <c r="G990" s="10" t="n"/>
      <c r="H990" s="10" t="n"/>
      <c r="I990" s="10" t="n"/>
      <c r="J990" s="10" t="n"/>
      <c r="K990" s="10">
        <f>IF(A990="","",TEXT(A990,"yyyy-mm"))</f>
        <v/>
      </c>
      <c r="L990" s="10">
        <f>IF(A990="","",WEEKNUM(A990))</f>
        <v/>
      </c>
      <c r="M990" s="10">
        <f>IF(A990="","",IF(COUNTIFS(A:A,A990,B:B,B990,F:F,F990)&gt;1,"⚠ Possible Duplicate",""))</f>
        <v/>
      </c>
      <c r="N990" s="10" t="n"/>
    </row>
    <row r="991">
      <c r="A991" s="10" t="n"/>
      <c r="B991" s="10" t="n"/>
      <c r="C991" s="10" t="n"/>
      <c r="D991" s="10" t="n"/>
      <c r="E991" s="10" t="n"/>
      <c r="F991" s="13" t="n"/>
      <c r="G991" s="10" t="n"/>
      <c r="H991" s="10" t="n"/>
      <c r="I991" s="10" t="n"/>
      <c r="J991" s="10" t="n"/>
      <c r="K991" s="10">
        <f>IF(A991="","",TEXT(A991,"yyyy-mm"))</f>
        <v/>
      </c>
      <c r="L991" s="10">
        <f>IF(A991="","",WEEKNUM(A991))</f>
        <v/>
      </c>
      <c r="M991" s="10">
        <f>IF(A991="","",IF(COUNTIFS(A:A,A991,B:B,B991,F:F,F991)&gt;1,"⚠ Possible Duplicate",""))</f>
        <v/>
      </c>
      <c r="N991" s="10" t="n"/>
    </row>
    <row r="992">
      <c r="A992" s="10" t="n"/>
      <c r="B992" s="10" t="n"/>
      <c r="C992" s="10" t="n"/>
      <c r="D992" s="10" t="n"/>
      <c r="E992" s="10" t="n"/>
      <c r="F992" s="13" t="n"/>
      <c r="G992" s="10" t="n"/>
      <c r="H992" s="10" t="n"/>
      <c r="I992" s="10" t="n"/>
      <c r="J992" s="10" t="n"/>
      <c r="K992" s="10">
        <f>IF(A992="","",TEXT(A992,"yyyy-mm"))</f>
        <v/>
      </c>
      <c r="L992" s="10">
        <f>IF(A992="","",WEEKNUM(A992))</f>
        <v/>
      </c>
      <c r="M992" s="10">
        <f>IF(A992="","",IF(COUNTIFS(A:A,A992,B:B,B992,F:F,F992)&gt;1,"⚠ Possible Duplicate",""))</f>
        <v/>
      </c>
      <c r="N992" s="10" t="n"/>
    </row>
    <row r="993">
      <c r="A993" s="10" t="n"/>
      <c r="B993" s="10" t="n"/>
      <c r="C993" s="10" t="n"/>
      <c r="D993" s="10" t="n"/>
      <c r="E993" s="10" t="n"/>
      <c r="F993" s="13" t="n"/>
      <c r="G993" s="10" t="n"/>
      <c r="H993" s="10" t="n"/>
      <c r="I993" s="10" t="n"/>
      <c r="J993" s="10" t="n"/>
      <c r="K993" s="10">
        <f>IF(A993="","",TEXT(A993,"yyyy-mm"))</f>
        <v/>
      </c>
      <c r="L993" s="10">
        <f>IF(A993="","",WEEKNUM(A993))</f>
        <v/>
      </c>
      <c r="M993" s="10">
        <f>IF(A993="","",IF(COUNTIFS(A:A,A993,B:B,B993,F:F,F993)&gt;1,"⚠ Possible Duplicate",""))</f>
        <v/>
      </c>
      <c r="N993" s="10" t="n"/>
    </row>
    <row r="994">
      <c r="A994" s="10" t="n"/>
      <c r="B994" s="10" t="n"/>
      <c r="C994" s="10" t="n"/>
      <c r="D994" s="10" t="n"/>
      <c r="E994" s="10" t="n"/>
      <c r="F994" s="13" t="n"/>
      <c r="G994" s="10" t="n"/>
      <c r="H994" s="10" t="n"/>
      <c r="I994" s="10" t="n"/>
      <c r="J994" s="10" t="n"/>
      <c r="K994" s="10">
        <f>IF(A994="","",TEXT(A994,"yyyy-mm"))</f>
        <v/>
      </c>
      <c r="L994" s="10">
        <f>IF(A994="","",WEEKNUM(A994))</f>
        <v/>
      </c>
      <c r="M994" s="10">
        <f>IF(A994="","",IF(COUNTIFS(A:A,A994,B:B,B994,F:F,F994)&gt;1,"⚠ Possible Duplicate",""))</f>
        <v/>
      </c>
      <c r="N994" s="10" t="n"/>
    </row>
    <row r="995">
      <c r="A995" s="10" t="n"/>
      <c r="B995" s="10" t="n"/>
      <c r="C995" s="10" t="n"/>
      <c r="D995" s="10" t="n"/>
      <c r="E995" s="10" t="n"/>
      <c r="F995" s="13" t="n"/>
      <c r="G995" s="10" t="n"/>
      <c r="H995" s="10" t="n"/>
      <c r="I995" s="10" t="n"/>
      <c r="J995" s="10" t="n"/>
      <c r="K995" s="10">
        <f>IF(A995="","",TEXT(A995,"yyyy-mm"))</f>
        <v/>
      </c>
      <c r="L995" s="10">
        <f>IF(A995="","",WEEKNUM(A995))</f>
        <v/>
      </c>
      <c r="M995" s="10">
        <f>IF(A995="","",IF(COUNTIFS(A:A,A995,B:B,B995,F:F,F995)&gt;1,"⚠ Possible Duplicate",""))</f>
        <v/>
      </c>
      <c r="N995" s="10" t="n"/>
    </row>
    <row r="996">
      <c r="A996" s="10" t="n"/>
      <c r="B996" s="10" t="n"/>
      <c r="C996" s="10" t="n"/>
      <c r="D996" s="10" t="n"/>
      <c r="E996" s="10" t="n"/>
      <c r="F996" s="13" t="n"/>
      <c r="G996" s="10" t="n"/>
      <c r="H996" s="10" t="n"/>
      <c r="I996" s="10" t="n"/>
      <c r="J996" s="10" t="n"/>
      <c r="K996" s="10">
        <f>IF(A996="","",TEXT(A996,"yyyy-mm"))</f>
        <v/>
      </c>
      <c r="L996" s="10">
        <f>IF(A996="","",WEEKNUM(A996))</f>
        <v/>
      </c>
      <c r="M996" s="10">
        <f>IF(A996="","",IF(COUNTIFS(A:A,A996,B:B,B996,F:F,F996)&gt;1,"⚠ Possible Duplicate",""))</f>
        <v/>
      </c>
      <c r="N996" s="10" t="n"/>
    </row>
    <row r="997">
      <c r="A997" s="10" t="n"/>
      <c r="B997" s="10" t="n"/>
      <c r="C997" s="10" t="n"/>
      <c r="D997" s="10" t="n"/>
      <c r="E997" s="10" t="n"/>
      <c r="F997" s="13" t="n"/>
      <c r="G997" s="10" t="n"/>
      <c r="H997" s="10" t="n"/>
      <c r="I997" s="10" t="n"/>
      <c r="J997" s="10" t="n"/>
      <c r="K997" s="10">
        <f>IF(A997="","",TEXT(A997,"yyyy-mm"))</f>
        <v/>
      </c>
      <c r="L997" s="10">
        <f>IF(A997="","",WEEKNUM(A997))</f>
        <v/>
      </c>
      <c r="M997" s="10">
        <f>IF(A997="","",IF(COUNTIFS(A:A,A997,B:B,B997,F:F,F997)&gt;1,"⚠ Possible Duplicate",""))</f>
        <v/>
      </c>
      <c r="N997" s="10" t="n"/>
    </row>
    <row r="998">
      <c r="A998" s="10" t="n"/>
      <c r="B998" s="10" t="n"/>
      <c r="C998" s="10" t="n"/>
      <c r="D998" s="10" t="n"/>
      <c r="E998" s="10" t="n"/>
      <c r="F998" s="13" t="n"/>
      <c r="G998" s="10" t="n"/>
      <c r="H998" s="10" t="n"/>
      <c r="I998" s="10" t="n"/>
      <c r="J998" s="10" t="n"/>
      <c r="K998" s="10">
        <f>IF(A998="","",TEXT(A998,"yyyy-mm"))</f>
        <v/>
      </c>
      <c r="L998" s="10">
        <f>IF(A998="","",WEEKNUM(A998))</f>
        <v/>
      </c>
      <c r="M998" s="10">
        <f>IF(A998="","",IF(COUNTIFS(A:A,A998,B:B,B998,F:F,F998)&gt;1,"⚠ Possible Duplicate",""))</f>
        <v/>
      </c>
      <c r="N998" s="10" t="n"/>
    </row>
    <row r="999">
      <c r="A999" s="10" t="n"/>
      <c r="B999" s="10" t="n"/>
      <c r="C999" s="10" t="n"/>
      <c r="D999" s="10" t="n"/>
      <c r="E999" s="10" t="n"/>
      <c r="F999" s="13" t="n"/>
      <c r="G999" s="10" t="n"/>
      <c r="H999" s="10" t="n"/>
      <c r="I999" s="10" t="n"/>
      <c r="J999" s="10" t="n"/>
      <c r="K999" s="10">
        <f>IF(A999="","",TEXT(A999,"yyyy-mm"))</f>
        <v/>
      </c>
      <c r="L999" s="10">
        <f>IF(A999="","",WEEKNUM(A999))</f>
        <v/>
      </c>
      <c r="M999" s="10">
        <f>IF(A999="","",IF(COUNTIFS(A:A,A999,B:B,B999,F:F,F999)&gt;1,"⚠ Possible Duplicate",""))</f>
        <v/>
      </c>
      <c r="N999" s="10" t="n"/>
    </row>
    <row r="1000">
      <c r="A1000" s="10" t="n"/>
      <c r="B1000" s="10" t="n"/>
      <c r="C1000" s="10" t="n"/>
      <c r="D1000" s="10" t="n"/>
      <c r="E1000" s="10" t="n"/>
      <c r="F1000" s="13" t="n"/>
      <c r="G1000" s="10" t="n"/>
      <c r="H1000" s="10" t="n"/>
      <c r="I1000" s="10" t="n"/>
      <c r="J1000" s="10" t="n"/>
      <c r="K1000" s="10">
        <f>IF(A1000="","",TEXT(A1000,"yyyy-mm"))</f>
        <v/>
      </c>
      <c r="L1000" s="10">
        <f>IF(A1000="","",WEEKNUM(A1000))</f>
        <v/>
      </c>
      <c r="M1000" s="10">
        <f>IF(A1000="","",IF(COUNTIFS(A:A,A1000,B:B,B1000,F:F,F1000)&gt;1,"⚠ Possible Duplicate",""))</f>
        <v/>
      </c>
      <c r="N1000" s="10" t="n"/>
    </row>
    <row r="1001">
      <c r="A1001" s="10" t="n"/>
      <c r="B1001" s="10" t="n"/>
      <c r="C1001" s="10" t="n"/>
      <c r="D1001" s="10" t="n"/>
      <c r="E1001" s="10" t="n"/>
      <c r="F1001" s="13" t="n"/>
      <c r="G1001" s="10" t="n"/>
      <c r="H1001" s="10" t="n"/>
      <c r="I1001" s="10" t="n"/>
      <c r="J1001" s="10" t="n"/>
      <c r="K1001" s="10">
        <f>IF(A1001="","",TEXT(A1001,"yyyy-mm"))</f>
        <v/>
      </c>
      <c r="L1001" s="10">
        <f>IF(A1001="","",WEEKNUM(A1001))</f>
        <v/>
      </c>
      <c r="M1001" s="10">
        <f>IF(A1001="","",IF(COUNTIFS(A:A,A1001,B:B,B1001,F:F,F1001)&gt;1,"⚠ Possible Duplicate",""))</f>
        <v/>
      </c>
      <c r="N1001" s="10" t="n"/>
    </row>
    <row r="1002">
      <c r="A1002" s="10" t="n"/>
      <c r="B1002" s="10" t="n"/>
      <c r="C1002" s="10" t="n"/>
      <c r="D1002" s="10" t="n"/>
      <c r="E1002" s="10" t="n"/>
      <c r="F1002" s="13" t="n"/>
      <c r="G1002" s="10" t="n"/>
      <c r="H1002" s="10" t="n"/>
      <c r="I1002" s="10" t="n"/>
      <c r="J1002" s="10" t="n"/>
      <c r="K1002" s="10">
        <f>IF(A1002="","",TEXT(A1002,"yyyy-mm"))</f>
        <v/>
      </c>
      <c r="L1002" s="10">
        <f>IF(A1002="","",WEEKNUM(A1002))</f>
        <v/>
      </c>
      <c r="M1002" s="10">
        <f>IF(A1002="","",IF(COUNTIFS(A:A,A1002,B:B,B1002,F:F,F1002)&gt;1,"⚠ Possible Duplicate",""))</f>
        <v/>
      </c>
      <c r="N1002" s="10" t="n"/>
    </row>
    <row r="1003">
      <c r="A1003" s="10" t="n"/>
      <c r="B1003" s="10" t="n"/>
      <c r="C1003" s="10" t="n"/>
      <c r="D1003" s="10" t="n"/>
      <c r="E1003" s="10" t="n"/>
      <c r="F1003" s="13" t="n"/>
      <c r="G1003" s="10" t="n"/>
      <c r="H1003" s="10" t="n"/>
      <c r="I1003" s="10" t="n"/>
      <c r="J1003" s="10" t="n"/>
      <c r="K1003" s="10">
        <f>IF(A1003="","",TEXT(A1003,"yyyy-mm"))</f>
        <v/>
      </c>
      <c r="L1003" s="10">
        <f>IF(A1003="","",WEEKNUM(A1003))</f>
        <v/>
      </c>
      <c r="M1003" s="10">
        <f>IF(A1003="","",IF(COUNTIFS(A:A,A1003,B:B,B1003,F:F,F1003)&gt;1,"⚠ Possible Duplicate",""))</f>
        <v/>
      </c>
      <c r="N1003" s="10" t="n"/>
    </row>
    <row r="1004">
      <c r="A1004" s="10" t="n"/>
      <c r="B1004" s="10" t="n"/>
      <c r="C1004" s="10" t="n"/>
      <c r="D1004" s="10" t="n"/>
      <c r="E1004" s="10" t="n"/>
      <c r="F1004" s="13" t="n"/>
      <c r="G1004" s="10" t="n"/>
      <c r="H1004" s="10" t="n"/>
      <c r="I1004" s="10" t="n"/>
      <c r="J1004" s="10" t="n"/>
      <c r="K1004" s="10">
        <f>IF(A1004="","",TEXT(A1004,"yyyy-mm"))</f>
        <v/>
      </c>
      <c r="L1004" s="10">
        <f>IF(A1004="","",WEEKNUM(A1004))</f>
        <v/>
      </c>
      <c r="M1004" s="10">
        <f>IF(A1004="","",IF(COUNTIFS(A:A,A1004,B:B,B1004,F:F,F1004)&gt;1,"⚠ Possible Duplicate",""))</f>
        <v/>
      </c>
      <c r="N1004" s="10" t="n"/>
    </row>
    <row r="1005">
      <c r="A1005" s="10" t="n"/>
      <c r="B1005" s="10" t="n"/>
      <c r="C1005" s="10" t="n"/>
      <c r="D1005" s="10" t="n"/>
      <c r="E1005" s="10" t="n"/>
      <c r="F1005" s="13" t="n"/>
      <c r="G1005" s="10" t="n"/>
      <c r="H1005" s="10" t="n"/>
      <c r="I1005" s="10" t="n"/>
      <c r="J1005" s="10" t="n"/>
      <c r="K1005" s="10">
        <f>IF(A1005="","",TEXT(A1005,"yyyy-mm"))</f>
        <v/>
      </c>
      <c r="L1005" s="10">
        <f>IF(A1005="","",WEEKNUM(A1005))</f>
        <v/>
      </c>
      <c r="M1005" s="10">
        <f>IF(A1005="","",IF(COUNTIFS(A:A,A1005,B:B,B1005,F:F,F1005)&gt;1,"⚠ Possible Duplicate",""))</f>
        <v/>
      </c>
      <c r="N1005" s="10" t="n"/>
    </row>
    <row r="1006">
      <c r="A1006" s="10" t="n"/>
      <c r="B1006" s="10" t="n"/>
      <c r="C1006" s="10" t="n"/>
      <c r="D1006" s="10" t="n"/>
      <c r="E1006" s="10" t="n"/>
      <c r="F1006" s="13" t="n"/>
      <c r="G1006" s="10" t="n"/>
      <c r="H1006" s="10" t="n"/>
      <c r="I1006" s="10" t="n"/>
      <c r="J1006" s="10" t="n"/>
      <c r="K1006" s="10">
        <f>IF(A1006="","",TEXT(A1006,"yyyy-mm"))</f>
        <v/>
      </c>
      <c r="L1006" s="10">
        <f>IF(A1006="","",WEEKNUM(A1006))</f>
        <v/>
      </c>
      <c r="M1006" s="10">
        <f>IF(A1006="","",IF(COUNTIFS(A:A,A1006,B:B,B1006,F:F,F1006)&gt;1,"⚠ Possible Duplicate",""))</f>
        <v/>
      </c>
      <c r="N1006" s="10" t="n"/>
    </row>
  </sheetData>
  <dataValidations count="5">
    <dataValidation sqref="C6:C1006" showDropDown="0" showInputMessage="0" showErrorMessage="0" allowBlank="1" type="list">
      <formula1>"Income,Expense,Investment,Transfer,Savings,Debt Payment"</formula1>
    </dataValidation>
    <dataValidation sqref="D6:D1006" showDropDown="0" showInputMessage="0" showErrorMessage="0" allowBlank="1" type="list">
      <formula1>"Debt,Food,Health,Housing,Income,Investments,Learning,Lifestyle,Subscriptions,Transportation,Utilities"</formula1>
    </dataValidation>
    <dataValidation sqref="E6:E1006" showDropDown="0" showInputMessage="0" showErrorMessage="0" allowBlank="1" type="list">
      <formula1>"Rent / Mortgage,Groceries,Dining Out,Internet,Mobile Phone,Electric / Water,Gas,Maintenance,Medical,Fitness,Shopping,Entertainment,Streaming / Software,Books / Courses,Brokerage / Retirement,Auto Loan,Salary"</formula1>
    </dataValidation>
    <dataValidation sqref="G6:G1006" showDropDown="0" showInputMessage="0" showErrorMessage="0" allowBlank="1" type="list">
      <formula1>"Chase Checking,Ally High-Yield Savings,Venmo Wallet,Chase Freedom Credit Card,Amex Blue Cash Card,Fidelity Brokerage,Vanguard Roth IRA,401(k)"</formula1>
    </dataValidation>
    <dataValidation sqref="I6:I1006" showDropDown="0" showInputMessage="0" showErrorMessage="0" allowBlank="1" type="list">
      <formula1>"Planned,Paid,Pending,Skipped"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10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6" customWidth="1" min="4" max="4"/>
    <col width="16" customWidth="1" min="5" max="5"/>
    <col width="14" customWidth="1" min="6" max="6"/>
    <col width="18" customWidth="1" min="7" max="7"/>
    <col width="14" customWidth="1" min="8" max="8"/>
    <col width="16" customWidth="1" min="9" max="9"/>
    <col width="32" customWidth="1" min="10" max="10"/>
  </cols>
  <sheetData>
    <row r="2">
      <c r="B2" s="11" t="inlineStr">
        <is>
          <t>Accounts</t>
        </is>
      </c>
    </row>
    <row r="3">
      <c r="B3" s="12" t="inlineStr">
        <is>
          <t>Track bank, wallet, credit card and investment balances</t>
        </is>
      </c>
    </row>
    <row r="5">
      <c r="A5" s="9" t="inlineStr">
        <is>
          <t>Account</t>
        </is>
      </c>
      <c r="B5" s="9" t="inlineStr">
        <is>
          <t>Type</t>
        </is>
      </c>
      <c r="C5" s="9" t="inlineStr">
        <is>
          <t>Institution</t>
        </is>
      </c>
      <c r="D5" s="9" t="inlineStr">
        <is>
          <t>Opening Balance</t>
        </is>
      </c>
      <c r="E5" s="9" t="inlineStr">
        <is>
          <t>Current Balance</t>
        </is>
      </c>
      <c r="F5" s="9" t="inlineStr">
        <is>
          <t>Credit Limit</t>
        </is>
      </c>
      <c r="G5" s="9" t="inlineStr">
        <is>
          <t>Include in Net Worth?</t>
        </is>
      </c>
      <c r="H5" s="9" t="inlineStr">
        <is>
          <t>Utilization</t>
        </is>
      </c>
      <c r="I5" s="9" t="inlineStr">
        <is>
          <t>Health</t>
        </is>
      </c>
      <c r="J5" s="9" t="inlineStr">
        <is>
          <t>Notes</t>
        </is>
      </c>
    </row>
    <row r="6">
      <c r="A6" s="10" t="inlineStr">
        <is>
          <t>Chase Checking</t>
        </is>
      </c>
      <c r="B6" s="10" t="inlineStr">
        <is>
          <t>Bank</t>
        </is>
      </c>
      <c r="C6" s="10" t="inlineStr">
        <is>
          <t>Chase</t>
        </is>
      </c>
      <c r="D6" s="13" t="n">
        <v>6500</v>
      </c>
      <c r="E6" s="13" t="n">
        <v>8250</v>
      </c>
      <c r="F6" s="13" t="inlineStr"/>
      <c r="G6" s="10" t="inlineStr">
        <is>
          <t>Yes</t>
        </is>
      </c>
      <c r="H6" s="14">
        <f>IF(B6="Credit Card",ABS(E6)/F6,"")</f>
        <v/>
      </c>
      <c r="I6" s="10">
        <f>IF(B6="Credit Card",IF(H6&gt;=0.8,"🔴 High",IF(H6&gt;=0.5,"🟡 Monitor","🟢 Healthy")),"🟢 Healthy")</f>
        <v/>
      </c>
      <c r="J6" s="10" t="inlineStr">
        <is>
          <t>Primary account</t>
        </is>
      </c>
    </row>
    <row r="7">
      <c r="A7" s="10" t="inlineStr">
        <is>
          <t>Ally High-Yield Savings</t>
        </is>
      </c>
      <c r="B7" s="10" t="inlineStr">
        <is>
          <t>Savings</t>
        </is>
      </c>
      <c r="C7" s="10" t="inlineStr">
        <is>
          <t>Ally Bank</t>
        </is>
      </c>
      <c r="D7" s="13" t="n">
        <v>18500</v>
      </c>
      <c r="E7" s="13" t="n">
        <v>21200</v>
      </c>
      <c r="F7" s="13" t="inlineStr"/>
      <c r="G7" s="10" t="inlineStr">
        <is>
          <t>Yes</t>
        </is>
      </c>
      <c r="H7" s="14">
        <f>IF(B7="Credit Card",ABS(E7)/F7,"")</f>
        <v/>
      </c>
      <c r="I7" s="10">
        <f>IF(B7="Credit Card",IF(H7&gt;=0.8,"🔴 High",IF(H7&gt;=0.5,"🟡 Monitor","🟢 Healthy")),"🟢 Healthy")</f>
        <v/>
      </c>
      <c r="J7" s="10" t="inlineStr">
        <is>
          <t>Emergency fund</t>
        </is>
      </c>
    </row>
    <row r="8">
      <c r="A8" s="10" t="inlineStr">
        <is>
          <t>Venmo Wallet</t>
        </is>
      </c>
      <c r="B8" s="10" t="inlineStr">
        <is>
          <t>Wallet</t>
        </is>
      </c>
      <c r="C8" s="10" t="inlineStr">
        <is>
          <t>Venmo</t>
        </is>
      </c>
      <c r="D8" s="13" t="n">
        <v>420</v>
      </c>
      <c r="E8" s="13" t="n">
        <v>180</v>
      </c>
      <c r="F8" s="13" t="inlineStr"/>
      <c r="G8" s="10" t="inlineStr">
        <is>
          <t>Yes</t>
        </is>
      </c>
      <c r="H8" s="14">
        <f>IF(B8="Credit Card",ABS(E8)/F8,"")</f>
        <v/>
      </c>
      <c r="I8" s="10">
        <f>IF(B8="Credit Card",IF(H8&gt;=0.8,"🔴 High",IF(H8&gt;=0.5,"🟡 Monitor","🟢 Healthy")),"🟢 Healthy")</f>
        <v/>
      </c>
      <c r="J8" s="10" t="inlineStr">
        <is>
          <t>Wallet</t>
        </is>
      </c>
    </row>
    <row r="9">
      <c r="A9" s="10" t="inlineStr">
        <is>
          <t>Chase Freedom Credit Card</t>
        </is>
      </c>
      <c r="B9" s="10" t="inlineStr">
        <is>
          <t>Credit Card</t>
        </is>
      </c>
      <c r="C9" s="10" t="inlineStr">
        <is>
          <t>Chase</t>
        </is>
      </c>
      <c r="D9" s="13" t="n">
        <v>0</v>
      </c>
      <c r="E9" s="13" t="n">
        <v>-1850</v>
      </c>
      <c r="F9" s="13" t="n">
        <v>12000</v>
      </c>
      <c r="G9" s="10" t="inlineStr">
        <is>
          <t>Yes</t>
        </is>
      </c>
      <c r="H9" s="14">
        <f>IF(B9="Credit Card",ABS(E9)/F9,"")</f>
        <v/>
      </c>
      <c r="I9" s="10">
        <f>IF(B9="Credit Card",IF(H9&gt;=0.8,"🔴 High",IF(H9&gt;=0.5,"🟡 Monitor","🟢 Healthy")),"🟢 Healthy")</f>
        <v/>
      </c>
      <c r="J9" s="10" t="inlineStr">
        <is>
          <t>Rewards card</t>
        </is>
      </c>
    </row>
    <row r="10">
      <c r="A10" s="10" t="inlineStr">
        <is>
          <t>Amex Blue Cash Card</t>
        </is>
      </c>
      <c r="B10" s="10" t="inlineStr">
        <is>
          <t>Credit Card</t>
        </is>
      </c>
      <c r="C10" s="10" t="inlineStr">
        <is>
          <t>Amex</t>
        </is>
      </c>
      <c r="D10" s="13" t="n">
        <v>0</v>
      </c>
      <c r="E10" s="13" t="n">
        <v>-940</v>
      </c>
      <c r="F10" s="13" t="n">
        <v>15000</v>
      </c>
      <c r="G10" s="10" t="inlineStr">
        <is>
          <t>Yes</t>
        </is>
      </c>
      <c r="H10" s="14">
        <f>IF(B10="Credit Card",ABS(E10)/F10,"")</f>
        <v/>
      </c>
      <c r="I10" s="10">
        <f>IF(B10="Credit Card",IF(H10&gt;=0.8,"🔴 High",IF(H10&gt;=0.5,"🟡 Monitor","🟢 Healthy")),"🟢 Healthy")</f>
        <v/>
      </c>
      <c r="J10" s="10" t="inlineStr">
        <is>
          <t>Groceries card</t>
        </is>
      </c>
    </row>
    <row r="11">
      <c r="A11" s="10" t="inlineStr">
        <is>
          <t>Fidelity Brokerage</t>
        </is>
      </c>
      <c r="B11" s="10" t="inlineStr">
        <is>
          <t>Investment</t>
        </is>
      </c>
      <c r="C11" s="10" t="inlineStr">
        <is>
          <t>Fidelity</t>
        </is>
      </c>
      <c r="D11" s="13" t="n">
        <v>42000</v>
      </c>
      <c r="E11" s="13" t="n">
        <v>48650</v>
      </c>
      <c r="F11" s="13" t="inlineStr"/>
      <c r="G11" s="10" t="inlineStr">
        <is>
          <t>Yes</t>
        </is>
      </c>
      <c r="H11" s="14">
        <f>IF(B11="Credit Card",ABS(E11)/F11,"")</f>
        <v/>
      </c>
      <c r="I11" s="10">
        <f>IF(B11="Credit Card",IF(H11&gt;=0.8,"🔴 High",IF(H11&gt;=0.5,"🟡 Monitor","🟢 Healthy")),"🟢 Healthy")</f>
        <v/>
      </c>
      <c r="J11" s="10" t="inlineStr">
        <is>
          <t>Brokerage</t>
        </is>
      </c>
    </row>
    <row r="12">
      <c r="A12" s="10" t="inlineStr">
        <is>
          <t>Vanguard Roth IRA</t>
        </is>
      </c>
      <c r="B12" s="10" t="inlineStr">
        <is>
          <t>Investment</t>
        </is>
      </c>
      <c r="C12" s="10" t="inlineStr">
        <is>
          <t>Vanguard</t>
        </is>
      </c>
      <c r="D12" s="13" t="n">
        <v>28500</v>
      </c>
      <c r="E12" s="13" t="n">
        <v>32750</v>
      </c>
      <c r="F12" s="13" t="inlineStr"/>
      <c r="G12" s="10" t="inlineStr">
        <is>
          <t>Yes</t>
        </is>
      </c>
      <c r="H12" s="14">
        <f>IF(B12="Credit Card",ABS(E12)/F12,"")</f>
        <v/>
      </c>
      <c r="I12" s="10">
        <f>IF(B12="Credit Card",IF(H12&gt;=0.8,"🔴 High",IF(H12&gt;=0.5,"🟡 Monitor","🟢 Healthy")),"🟢 Healthy")</f>
        <v/>
      </c>
      <c r="J12" s="10" t="inlineStr">
        <is>
          <t>Roth</t>
        </is>
      </c>
    </row>
    <row r="13">
      <c r="A13" s="10" t="inlineStr">
        <is>
          <t>401(k)</t>
        </is>
      </c>
      <c r="B13" s="10" t="inlineStr">
        <is>
          <t>Investment</t>
        </is>
      </c>
      <c r="C13" s="10" t="inlineStr">
        <is>
          <t>Employer Plan</t>
        </is>
      </c>
      <c r="D13" s="13" t="n">
        <v>95000</v>
      </c>
      <c r="E13" s="13" t="n">
        <v>106500</v>
      </c>
      <c r="F13" s="13" t="inlineStr"/>
      <c r="G13" s="10" t="inlineStr">
        <is>
          <t>Yes</t>
        </is>
      </c>
      <c r="H13" s="14">
        <f>IF(B13="Credit Card",ABS(E13)/F13,"")</f>
        <v/>
      </c>
      <c r="I13" s="10">
        <f>IF(B13="Credit Card",IF(H13&gt;=0.8,"🔴 High",IF(H13&gt;=0.5,"🟡 Monitor","🟢 Healthy")),"🟢 Healthy")</f>
        <v/>
      </c>
      <c r="J13" s="10" t="inlineStr">
        <is>
          <t>401k</t>
        </is>
      </c>
    </row>
    <row r="14">
      <c r="D14" s="15" t="n"/>
      <c r="E14" s="15" t="n"/>
      <c r="F14" s="15" t="n"/>
      <c r="H14" s="16" t="n"/>
    </row>
    <row r="15">
      <c r="D15" s="15" t="n"/>
      <c r="E15" s="15" t="n"/>
      <c r="F15" s="15" t="n"/>
      <c r="H15" s="16" t="n"/>
    </row>
    <row r="16">
      <c r="D16" s="15" t="n"/>
      <c r="E16" s="15" t="n"/>
      <c r="F16" s="15" t="n"/>
      <c r="H16" s="16" t="n"/>
    </row>
    <row r="17">
      <c r="D17" s="15" t="n"/>
      <c r="E17" s="15" t="n"/>
      <c r="F17" s="15" t="n"/>
      <c r="H17" s="16" t="n"/>
    </row>
    <row r="18">
      <c r="D18" s="15" t="n"/>
      <c r="E18" s="15" t="n"/>
      <c r="F18" s="15" t="n"/>
      <c r="H18" s="16" t="n"/>
    </row>
    <row r="19">
      <c r="D19" s="15" t="n"/>
      <c r="E19" s="15" t="n"/>
      <c r="F19" s="15" t="n"/>
      <c r="H19" s="16" t="n"/>
    </row>
    <row r="20">
      <c r="D20" s="15" t="n"/>
      <c r="E20" s="15" t="n"/>
      <c r="F20" s="15" t="n"/>
      <c r="H20" s="16" t="n"/>
    </row>
    <row r="21">
      <c r="D21" s="15" t="n"/>
      <c r="E21" s="15" t="n"/>
      <c r="F21" s="15" t="n"/>
      <c r="H21" s="16" t="n"/>
    </row>
    <row r="22">
      <c r="D22" s="15" t="n"/>
      <c r="E22" s="15" t="n"/>
      <c r="F22" s="15" t="n"/>
      <c r="H22" s="16" t="n"/>
    </row>
    <row r="23">
      <c r="D23" s="15" t="n"/>
      <c r="E23" s="15" t="n"/>
      <c r="F23" s="15" t="n"/>
      <c r="H23" s="16" t="n"/>
    </row>
    <row r="24">
      <c r="D24" s="15" t="n"/>
      <c r="E24" s="15" t="n"/>
      <c r="F24" s="15" t="n"/>
      <c r="H24" s="16" t="n"/>
    </row>
    <row r="25">
      <c r="D25" s="15" t="n"/>
      <c r="E25" s="15" t="n"/>
      <c r="F25" s="15" t="n"/>
      <c r="H25" s="16" t="n"/>
    </row>
    <row r="26">
      <c r="D26" s="15" t="n"/>
      <c r="E26" s="15" t="n"/>
      <c r="F26" s="15" t="n"/>
      <c r="H26" s="16" t="n"/>
    </row>
    <row r="27">
      <c r="D27" s="15" t="n"/>
      <c r="E27" s="15" t="n"/>
      <c r="F27" s="15" t="n"/>
      <c r="H27" s="16" t="n"/>
    </row>
    <row r="28">
      <c r="D28" s="15" t="n"/>
      <c r="E28" s="15" t="n"/>
      <c r="F28" s="15" t="n"/>
      <c r="H28" s="16" t="n"/>
    </row>
    <row r="29">
      <c r="D29" s="15" t="n"/>
      <c r="E29" s="15" t="n"/>
      <c r="F29" s="15" t="n"/>
      <c r="H29" s="16" t="n"/>
    </row>
    <row r="30">
      <c r="D30" s="15" t="n"/>
      <c r="E30" s="15" t="n"/>
      <c r="F30" s="15" t="n"/>
      <c r="H30" s="16" t="n"/>
    </row>
    <row r="31">
      <c r="D31" s="15" t="n"/>
      <c r="E31" s="15" t="n"/>
      <c r="F31" s="15" t="n"/>
      <c r="H31" s="16" t="n"/>
    </row>
    <row r="32">
      <c r="D32" s="15" t="n"/>
      <c r="E32" s="15" t="n"/>
      <c r="F32" s="15" t="n"/>
      <c r="H32" s="16" t="n"/>
    </row>
    <row r="33">
      <c r="D33" s="15" t="n"/>
      <c r="E33" s="15" t="n"/>
      <c r="F33" s="15" t="n"/>
      <c r="H33" s="16" t="n"/>
    </row>
    <row r="34">
      <c r="D34" s="15" t="n"/>
      <c r="E34" s="15" t="n"/>
      <c r="F34" s="15" t="n"/>
      <c r="H34" s="16" t="n"/>
    </row>
    <row r="35">
      <c r="D35" s="15" t="n"/>
      <c r="E35" s="15" t="n"/>
      <c r="F35" s="15" t="n"/>
      <c r="H35" s="16" t="n"/>
    </row>
    <row r="36">
      <c r="D36" s="15" t="n"/>
      <c r="E36" s="15" t="n"/>
      <c r="F36" s="15" t="n"/>
      <c r="H36" s="16" t="n"/>
    </row>
    <row r="37">
      <c r="D37" s="15" t="n"/>
      <c r="E37" s="15" t="n"/>
      <c r="F37" s="15" t="n"/>
      <c r="H37" s="16" t="n"/>
    </row>
    <row r="38">
      <c r="D38" s="15" t="n"/>
      <c r="E38" s="15" t="n"/>
      <c r="F38" s="15" t="n"/>
      <c r="H38" s="16" t="n"/>
    </row>
    <row r="39">
      <c r="D39" s="15" t="n"/>
      <c r="E39" s="15" t="n"/>
      <c r="F39" s="15" t="n"/>
      <c r="H39" s="16" t="n"/>
    </row>
    <row r="40">
      <c r="D40" s="15" t="n"/>
      <c r="E40" s="15" t="n"/>
      <c r="F40" s="15" t="n"/>
      <c r="H40" s="16" t="n"/>
    </row>
    <row r="41">
      <c r="D41" s="15" t="n"/>
      <c r="E41" s="15" t="n"/>
      <c r="F41" s="15" t="n"/>
      <c r="H41" s="16" t="n"/>
    </row>
    <row r="42">
      <c r="D42" s="15" t="n"/>
      <c r="E42" s="15" t="n"/>
      <c r="F42" s="15" t="n"/>
      <c r="H42" s="16" t="n"/>
    </row>
    <row r="43">
      <c r="D43" s="15" t="n"/>
      <c r="E43" s="15" t="n"/>
      <c r="F43" s="15" t="n"/>
      <c r="H43" s="16" t="n"/>
    </row>
    <row r="44">
      <c r="D44" s="15" t="n"/>
      <c r="E44" s="15" t="n"/>
      <c r="F44" s="15" t="n"/>
      <c r="H44" s="16" t="n"/>
    </row>
    <row r="45">
      <c r="D45" s="15" t="n"/>
      <c r="E45" s="15" t="n"/>
      <c r="F45" s="15" t="n"/>
      <c r="H45" s="16" t="n"/>
    </row>
    <row r="46">
      <c r="D46" s="15" t="n"/>
      <c r="E46" s="15" t="n"/>
      <c r="F46" s="15" t="n"/>
      <c r="H46" s="16" t="n"/>
    </row>
    <row r="47">
      <c r="D47" s="15" t="n"/>
      <c r="E47" s="15" t="n"/>
      <c r="F47" s="15" t="n"/>
      <c r="H47" s="16" t="n"/>
    </row>
    <row r="48">
      <c r="D48" s="15" t="n"/>
      <c r="E48" s="15" t="n"/>
      <c r="F48" s="15" t="n"/>
      <c r="H48" s="16" t="n"/>
    </row>
    <row r="49">
      <c r="D49" s="15" t="n"/>
      <c r="E49" s="15" t="n"/>
      <c r="F49" s="15" t="n"/>
      <c r="H49" s="16" t="n"/>
    </row>
    <row r="50">
      <c r="D50" s="15" t="n"/>
      <c r="E50" s="15" t="n"/>
      <c r="F50" s="15" t="n"/>
      <c r="H50" s="16" t="n"/>
    </row>
    <row r="51">
      <c r="D51" s="15" t="n"/>
      <c r="E51" s="15" t="n"/>
      <c r="F51" s="15" t="n"/>
      <c r="H51" s="16" t="n"/>
    </row>
    <row r="52">
      <c r="D52" s="15" t="n"/>
      <c r="E52" s="15" t="n"/>
      <c r="F52" s="15" t="n"/>
      <c r="H52" s="16" t="n"/>
    </row>
    <row r="53">
      <c r="D53" s="15" t="n"/>
      <c r="E53" s="15" t="n"/>
      <c r="F53" s="15" t="n"/>
      <c r="H53" s="16" t="n"/>
    </row>
    <row r="54">
      <c r="D54" s="15" t="n"/>
      <c r="E54" s="15" t="n"/>
      <c r="F54" s="15" t="n"/>
      <c r="H54" s="16" t="n"/>
    </row>
    <row r="55">
      <c r="D55" s="15" t="n"/>
      <c r="E55" s="15" t="n"/>
      <c r="F55" s="15" t="n"/>
      <c r="H55" s="16" t="n"/>
    </row>
    <row r="56">
      <c r="D56" s="15" t="n"/>
      <c r="E56" s="15" t="n"/>
      <c r="F56" s="15" t="n"/>
      <c r="H56" s="16" t="n"/>
    </row>
    <row r="57">
      <c r="D57" s="15" t="n"/>
      <c r="E57" s="15" t="n"/>
      <c r="F57" s="15" t="n"/>
      <c r="H57" s="16" t="n"/>
    </row>
    <row r="58">
      <c r="D58" s="15" t="n"/>
      <c r="E58" s="15" t="n"/>
      <c r="F58" s="15" t="n"/>
      <c r="H58" s="16" t="n"/>
    </row>
    <row r="59">
      <c r="D59" s="15" t="n"/>
      <c r="E59" s="15" t="n"/>
      <c r="F59" s="15" t="n"/>
      <c r="H59" s="16" t="n"/>
    </row>
    <row r="60">
      <c r="D60" s="15" t="n"/>
      <c r="E60" s="15" t="n"/>
      <c r="F60" s="15" t="n"/>
      <c r="H60" s="16" t="n"/>
    </row>
    <row r="61">
      <c r="D61" s="15" t="n"/>
      <c r="E61" s="15" t="n"/>
      <c r="F61" s="15" t="n"/>
      <c r="H61" s="16" t="n"/>
    </row>
    <row r="62">
      <c r="D62" s="15" t="n"/>
      <c r="E62" s="15" t="n"/>
      <c r="F62" s="15" t="n"/>
      <c r="H62" s="16" t="n"/>
    </row>
    <row r="63">
      <c r="D63" s="15" t="n"/>
      <c r="E63" s="15" t="n"/>
      <c r="F63" s="15" t="n"/>
      <c r="H63" s="16" t="n"/>
    </row>
    <row r="64">
      <c r="D64" s="15" t="n"/>
      <c r="E64" s="15" t="n"/>
      <c r="F64" s="15" t="n"/>
      <c r="H64" s="16" t="n"/>
    </row>
    <row r="65">
      <c r="D65" s="15" t="n"/>
      <c r="E65" s="15" t="n"/>
      <c r="F65" s="15" t="n"/>
      <c r="H65" s="16" t="n"/>
    </row>
    <row r="66">
      <c r="D66" s="15" t="n"/>
      <c r="E66" s="15" t="n"/>
      <c r="F66" s="15" t="n"/>
      <c r="H66" s="16" t="n"/>
    </row>
    <row r="67">
      <c r="D67" s="15" t="n"/>
      <c r="E67" s="15" t="n"/>
      <c r="F67" s="15" t="n"/>
      <c r="H67" s="16" t="n"/>
    </row>
    <row r="68">
      <c r="D68" s="15" t="n"/>
      <c r="E68" s="15" t="n"/>
      <c r="F68" s="15" t="n"/>
      <c r="H68" s="16" t="n"/>
    </row>
    <row r="69">
      <c r="D69" s="15" t="n"/>
      <c r="E69" s="15" t="n"/>
      <c r="F69" s="15" t="n"/>
      <c r="H69" s="16" t="n"/>
    </row>
    <row r="70">
      <c r="D70" s="15" t="n"/>
      <c r="E70" s="15" t="n"/>
      <c r="F70" s="15" t="n"/>
      <c r="H70" s="16" t="n"/>
    </row>
    <row r="71">
      <c r="D71" s="15" t="n"/>
      <c r="E71" s="15" t="n"/>
      <c r="F71" s="15" t="n"/>
      <c r="H71" s="16" t="n"/>
    </row>
    <row r="72">
      <c r="D72" s="15" t="n"/>
      <c r="E72" s="15" t="n"/>
      <c r="F72" s="15" t="n"/>
      <c r="H72" s="16" t="n"/>
    </row>
    <row r="73">
      <c r="D73" s="15" t="n"/>
      <c r="E73" s="15" t="n"/>
      <c r="F73" s="15" t="n"/>
      <c r="H73" s="16" t="n"/>
    </row>
    <row r="74">
      <c r="D74" s="15" t="n"/>
      <c r="E74" s="15" t="n"/>
      <c r="F74" s="15" t="n"/>
      <c r="H74" s="16" t="n"/>
    </row>
    <row r="75">
      <c r="D75" s="15" t="n"/>
      <c r="E75" s="15" t="n"/>
      <c r="F75" s="15" t="n"/>
      <c r="H75" s="16" t="n"/>
    </row>
    <row r="76">
      <c r="D76" s="15" t="n"/>
      <c r="E76" s="15" t="n"/>
      <c r="F76" s="15" t="n"/>
      <c r="H76" s="16" t="n"/>
    </row>
    <row r="77">
      <c r="D77" s="15" t="n"/>
      <c r="E77" s="15" t="n"/>
      <c r="F77" s="15" t="n"/>
      <c r="H77" s="16" t="n"/>
    </row>
    <row r="78">
      <c r="D78" s="15" t="n"/>
      <c r="E78" s="15" t="n"/>
      <c r="F78" s="15" t="n"/>
      <c r="H78" s="16" t="n"/>
    </row>
    <row r="79">
      <c r="D79" s="15" t="n"/>
      <c r="E79" s="15" t="n"/>
      <c r="F79" s="15" t="n"/>
      <c r="H79" s="16" t="n"/>
    </row>
    <row r="80">
      <c r="D80" s="15" t="n"/>
      <c r="E80" s="15" t="n"/>
      <c r="F80" s="15" t="n"/>
      <c r="H80" s="16" t="n"/>
    </row>
    <row r="81">
      <c r="D81" s="15" t="n"/>
      <c r="E81" s="15" t="n"/>
      <c r="F81" s="15" t="n"/>
      <c r="H81" s="16" t="n"/>
    </row>
    <row r="82">
      <c r="D82" s="15" t="n"/>
      <c r="E82" s="15" t="n"/>
      <c r="F82" s="15" t="n"/>
      <c r="H82" s="16" t="n"/>
    </row>
    <row r="83">
      <c r="D83" s="15" t="n"/>
      <c r="E83" s="15" t="n"/>
      <c r="F83" s="15" t="n"/>
      <c r="H83" s="16" t="n"/>
    </row>
    <row r="84">
      <c r="D84" s="15" t="n"/>
      <c r="E84" s="15" t="n"/>
      <c r="F84" s="15" t="n"/>
      <c r="H84" s="16" t="n"/>
    </row>
    <row r="85">
      <c r="D85" s="15" t="n"/>
      <c r="E85" s="15" t="n"/>
      <c r="F85" s="15" t="n"/>
      <c r="H85" s="16" t="n"/>
    </row>
    <row r="86">
      <c r="D86" s="15" t="n"/>
      <c r="E86" s="15" t="n"/>
      <c r="F86" s="15" t="n"/>
      <c r="H86" s="16" t="n"/>
    </row>
    <row r="87">
      <c r="D87" s="15" t="n"/>
      <c r="E87" s="15" t="n"/>
      <c r="F87" s="15" t="n"/>
      <c r="H87" s="16" t="n"/>
    </row>
    <row r="88">
      <c r="D88" s="15" t="n"/>
      <c r="E88" s="15" t="n"/>
      <c r="F88" s="15" t="n"/>
      <c r="H88" s="16" t="n"/>
    </row>
    <row r="89">
      <c r="D89" s="15" t="n"/>
      <c r="E89" s="15" t="n"/>
      <c r="F89" s="15" t="n"/>
      <c r="H89" s="16" t="n"/>
    </row>
    <row r="90">
      <c r="D90" s="15" t="n"/>
      <c r="E90" s="15" t="n"/>
      <c r="F90" s="15" t="n"/>
      <c r="H90" s="16" t="n"/>
    </row>
    <row r="91">
      <c r="D91" s="15" t="n"/>
      <c r="E91" s="15" t="n"/>
      <c r="F91" s="15" t="n"/>
      <c r="H91" s="16" t="n"/>
    </row>
    <row r="92">
      <c r="D92" s="15" t="n"/>
      <c r="E92" s="15" t="n"/>
      <c r="F92" s="15" t="n"/>
      <c r="H92" s="16" t="n"/>
    </row>
    <row r="93">
      <c r="D93" s="15" t="n"/>
      <c r="E93" s="15" t="n"/>
      <c r="F93" s="15" t="n"/>
      <c r="H93" s="16" t="n"/>
    </row>
    <row r="94">
      <c r="D94" s="15" t="n"/>
      <c r="E94" s="15" t="n"/>
      <c r="F94" s="15" t="n"/>
      <c r="H94" s="16" t="n"/>
    </row>
    <row r="95">
      <c r="D95" s="15" t="n"/>
      <c r="E95" s="15" t="n"/>
      <c r="F95" s="15" t="n"/>
      <c r="H95" s="16" t="n"/>
    </row>
    <row r="96">
      <c r="D96" s="15" t="n"/>
      <c r="E96" s="15" t="n"/>
      <c r="F96" s="15" t="n"/>
      <c r="H96" s="16" t="n"/>
    </row>
    <row r="97">
      <c r="D97" s="15" t="n"/>
      <c r="E97" s="15" t="n"/>
      <c r="F97" s="15" t="n"/>
      <c r="H97" s="16" t="n"/>
    </row>
    <row r="98">
      <c r="D98" s="15" t="n"/>
      <c r="E98" s="15" t="n"/>
      <c r="F98" s="15" t="n"/>
      <c r="H98" s="16" t="n"/>
    </row>
    <row r="99">
      <c r="D99" s="15" t="n"/>
      <c r="E99" s="15" t="n"/>
      <c r="F99" s="15" t="n"/>
      <c r="H99" s="16" t="n"/>
    </row>
    <row r="100">
      <c r="D100" s="15" t="n"/>
      <c r="E100" s="15" t="n"/>
      <c r="F100" s="15" t="n"/>
      <c r="H100" s="1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N10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6" customWidth="1" min="4" max="4"/>
    <col width="16" customWidth="1" min="5" max="5"/>
    <col width="12" customWidth="1" min="6" max="6"/>
    <col width="18" customWidth="1" min="7" max="7"/>
    <col width="16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</cols>
  <sheetData>
    <row r="2">
      <c r="B2" s="11" t="inlineStr">
        <is>
          <t>Debt Tracker</t>
        </is>
      </c>
    </row>
    <row r="3">
      <c r="B3" s="12" t="inlineStr">
        <is>
          <t>Track debts and compare snowball, avalanche or custom repayment strategies</t>
        </is>
      </c>
    </row>
    <row r="5">
      <c r="A5" s="9" t="inlineStr">
        <is>
          <t>Debt</t>
        </is>
      </c>
      <c r="B5" s="9" t="inlineStr">
        <is>
          <t>Type</t>
        </is>
      </c>
      <c r="C5" s="9" t="inlineStr">
        <is>
          <t>Lender</t>
        </is>
      </c>
      <c r="D5" s="9" t="inlineStr">
        <is>
          <t>Starting Balance</t>
        </is>
      </c>
      <c r="E5" s="9" t="inlineStr">
        <is>
          <t>Current Balance</t>
        </is>
      </c>
      <c r="F5" s="9" t="inlineStr">
        <is>
          <t>APR</t>
        </is>
      </c>
      <c r="G5" s="9" t="inlineStr">
        <is>
          <t>Minimum Payment</t>
        </is>
      </c>
      <c r="H5" s="9" t="inlineStr">
        <is>
          <t>Extra Payment</t>
        </is>
      </c>
      <c r="I5" s="9" t="inlineStr">
        <is>
          <t>Strategy</t>
        </is>
      </c>
      <c r="J5" s="9" t="inlineStr">
        <is>
          <t>Monthly Payment</t>
        </is>
      </c>
      <c r="K5" s="9" t="inlineStr">
        <is>
          <t>Interest This Month</t>
        </is>
      </c>
      <c r="L5" s="9" t="inlineStr">
        <is>
          <t>Projected Months</t>
        </is>
      </c>
      <c r="M5" s="9" t="inlineStr">
        <is>
          <t>Payoff Status</t>
        </is>
      </c>
      <c r="N5" s="9" t="inlineStr">
        <is>
          <t>Notes</t>
        </is>
      </c>
    </row>
    <row r="6">
      <c r="A6" s="10" t="inlineStr">
        <is>
          <t>Car Loan</t>
        </is>
      </c>
      <c r="B6" s="10" t="inlineStr">
        <is>
          <t>Auto Loan</t>
        </is>
      </c>
      <c r="C6" s="10" t="inlineStr">
        <is>
          <t>Credit Union</t>
        </is>
      </c>
      <c r="D6" s="13" t="n">
        <v>18500</v>
      </c>
      <c r="E6" s="13" t="n">
        <v>14250</v>
      </c>
      <c r="F6" s="14" t="n">
        <v>0.065</v>
      </c>
      <c r="G6" s="13" t="n">
        <v>390</v>
      </c>
      <c r="H6" s="13" t="n">
        <v>60</v>
      </c>
      <c r="I6" s="10" t="inlineStr">
        <is>
          <t>Avalanche</t>
        </is>
      </c>
      <c r="J6" s="13">
        <f>G6+H6</f>
        <v/>
      </c>
      <c r="K6" s="13">
        <f>E6*F6/12</f>
        <v/>
      </c>
      <c r="L6" s="10">
        <f>IF(J6&lt;=K6,"Increase Payment",ROUNDUP(E6/(J6-K6),0))</f>
        <v/>
      </c>
      <c r="M6" s="10">
        <f>IF(E6&lt;=0,"✅ Paid Off",IF(J6&lt;=K6,"🔴 Payment Too Low","🟡 In Progress"))</f>
        <v/>
      </c>
      <c r="N6" s="10" t="inlineStr">
        <is>
          <t>Auto loan</t>
        </is>
      </c>
    </row>
    <row r="7">
      <c r="A7" s="10" t="inlineStr">
        <is>
          <t>Student Loan</t>
        </is>
      </c>
      <c r="B7" s="10" t="inlineStr">
        <is>
          <t>Student Loan</t>
        </is>
      </c>
      <c r="C7" s="10" t="inlineStr">
        <is>
          <t>Federal Servicer</t>
        </is>
      </c>
      <c r="D7" s="13" t="n">
        <v>32000</v>
      </c>
      <c r="E7" s="13" t="n">
        <v>28500</v>
      </c>
      <c r="F7" s="14" t="n">
        <v>0.048</v>
      </c>
      <c r="G7" s="13" t="n">
        <v>290</v>
      </c>
      <c r="H7" s="13" t="n">
        <v>0</v>
      </c>
      <c r="I7" s="10" t="inlineStr">
        <is>
          <t>Snowball</t>
        </is>
      </c>
      <c r="J7" s="13">
        <f>G7+H7</f>
        <v/>
      </c>
      <c r="K7" s="13">
        <f>E7*F7/12</f>
        <v/>
      </c>
      <c r="L7" s="10">
        <f>IF(J7&lt;=K7,"Increase Payment",ROUNDUP(E7/(J7-K7),0))</f>
        <v/>
      </c>
      <c r="M7" s="10">
        <f>IF(E7&lt;=0,"✅ Paid Off",IF(J7&lt;=K7,"🔴 Payment Too Low","🟡 In Progress"))</f>
        <v/>
      </c>
      <c r="N7" s="10" t="inlineStr">
        <is>
          <t>Student loan</t>
        </is>
      </c>
    </row>
    <row r="8">
      <c r="A8" s="10" t="inlineStr">
        <is>
          <t>Credit Card Balance</t>
        </is>
      </c>
      <c r="B8" s="10" t="inlineStr">
        <is>
          <t>Credit Card</t>
        </is>
      </c>
      <c r="C8" s="10" t="inlineStr">
        <is>
          <t>Chase</t>
        </is>
      </c>
      <c r="D8" s="13" t="n">
        <v>4200</v>
      </c>
      <c r="E8" s="13" t="n">
        <v>1850</v>
      </c>
      <c r="F8" s="14" t="n">
        <v>0.199</v>
      </c>
      <c r="G8" s="13" t="n">
        <v>95</v>
      </c>
      <c r="H8" s="13" t="n">
        <v>150</v>
      </c>
      <c r="I8" s="10" t="inlineStr">
        <is>
          <t>Avalanche</t>
        </is>
      </c>
      <c r="J8" s="13">
        <f>G8+H8</f>
        <v/>
      </c>
      <c r="K8" s="13">
        <f>E8*F8/12</f>
        <v/>
      </c>
      <c r="L8" s="10">
        <f>IF(J8&lt;=K8,"Increase Payment",ROUNDUP(E8/(J8-K8),0))</f>
        <v/>
      </c>
      <c r="M8" s="10">
        <f>IF(E8&lt;=0,"✅ Paid Off",IF(J8&lt;=K8,"🔴 Payment Too Low","🟡 In Progress"))</f>
        <v/>
      </c>
      <c r="N8" s="10" t="inlineStr">
        <is>
          <t>Revolving</t>
        </is>
      </c>
    </row>
    <row r="9">
      <c r="D9" s="15" t="n"/>
      <c r="E9" s="15" t="n"/>
      <c r="F9" s="16" t="n"/>
      <c r="G9" s="15" t="n"/>
      <c r="H9" s="15" t="n"/>
      <c r="J9" s="15" t="n"/>
      <c r="K9" s="15" t="n"/>
    </row>
    <row r="10">
      <c r="D10" s="15" t="n"/>
      <c r="E10" s="15" t="n"/>
      <c r="F10" s="16" t="n"/>
      <c r="G10" s="15" t="n"/>
      <c r="H10" s="15" t="n"/>
      <c r="J10" s="15" t="n"/>
      <c r="K10" s="15" t="n"/>
    </row>
    <row r="11">
      <c r="D11" s="15" t="n"/>
      <c r="E11" s="15" t="n"/>
      <c r="F11" s="16" t="n"/>
      <c r="G11" s="15" t="n"/>
      <c r="H11" s="15" t="n"/>
      <c r="J11" s="15" t="n"/>
      <c r="K11" s="15" t="n"/>
    </row>
    <row r="12">
      <c r="D12" s="15" t="n"/>
      <c r="E12" s="15" t="n"/>
      <c r="F12" s="16" t="n"/>
      <c r="G12" s="15" t="n"/>
      <c r="H12" s="15" t="n"/>
      <c r="J12" s="15" t="n"/>
      <c r="K12" s="15" t="n"/>
    </row>
    <row r="13">
      <c r="D13" s="15" t="n"/>
      <c r="E13" s="15" t="n"/>
      <c r="F13" s="16" t="n"/>
      <c r="G13" s="15" t="n"/>
      <c r="H13" s="15" t="n"/>
      <c r="J13" s="15" t="n"/>
      <c r="K13" s="15" t="n"/>
    </row>
    <row r="14">
      <c r="D14" s="15" t="n"/>
      <c r="E14" s="15" t="n"/>
      <c r="F14" s="16" t="n"/>
      <c r="G14" s="15" t="n"/>
      <c r="H14" s="15" t="n"/>
      <c r="J14" s="15" t="n"/>
      <c r="K14" s="15" t="n"/>
    </row>
    <row r="15">
      <c r="D15" s="15" t="n"/>
      <c r="E15" s="15" t="n"/>
      <c r="F15" s="16" t="n"/>
      <c r="G15" s="15" t="n"/>
      <c r="H15" s="15" t="n"/>
      <c r="J15" s="15" t="n"/>
      <c r="K15" s="15" t="n"/>
    </row>
    <row r="16">
      <c r="D16" s="15" t="n"/>
      <c r="E16" s="15" t="n"/>
      <c r="F16" s="16" t="n"/>
      <c r="G16" s="15" t="n"/>
      <c r="H16" s="15" t="n"/>
      <c r="J16" s="15" t="n"/>
      <c r="K16" s="15" t="n"/>
    </row>
    <row r="17">
      <c r="D17" s="15" t="n"/>
      <c r="E17" s="15" t="n"/>
      <c r="F17" s="16" t="n"/>
      <c r="G17" s="15" t="n"/>
      <c r="H17" s="15" t="n"/>
      <c r="J17" s="15" t="n"/>
      <c r="K17" s="15" t="n"/>
    </row>
    <row r="18">
      <c r="D18" s="15" t="n"/>
      <c r="E18" s="15" t="n"/>
      <c r="F18" s="16" t="n"/>
      <c r="G18" s="15" t="n"/>
      <c r="H18" s="15" t="n"/>
      <c r="J18" s="15" t="n"/>
      <c r="K18" s="15" t="n"/>
    </row>
    <row r="19">
      <c r="D19" s="15" t="n"/>
      <c r="E19" s="15" t="n"/>
      <c r="F19" s="16" t="n"/>
      <c r="G19" s="15" t="n"/>
      <c r="H19" s="15" t="n"/>
      <c r="J19" s="15" t="n"/>
      <c r="K19" s="15" t="n"/>
    </row>
    <row r="20">
      <c r="D20" s="15" t="n"/>
      <c r="E20" s="15" t="n"/>
      <c r="F20" s="16" t="n"/>
      <c r="G20" s="15" t="n"/>
      <c r="H20" s="15" t="n"/>
      <c r="J20" s="15" t="n"/>
      <c r="K20" s="15" t="n"/>
    </row>
    <row r="21">
      <c r="D21" s="15" t="n"/>
      <c r="E21" s="15" t="n"/>
      <c r="F21" s="16" t="n"/>
      <c r="G21" s="15" t="n"/>
      <c r="H21" s="15" t="n"/>
      <c r="J21" s="15" t="n"/>
      <c r="K21" s="15" t="n"/>
    </row>
    <row r="22">
      <c r="D22" s="15" t="n"/>
      <c r="E22" s="15" t="n"/>
      <c r="F22" s="16" t="n"/>
      <c r="G22" s="15" t="n"/>
      <c r="H22" s="15" t="n"/>
      <c r="J22" s="15" t="n"/>
      <c r="K22" s="15" t="n"/>
    </row>
    <row r="23">
      <c r="D23" s="15" t="n"/>
      <c r="E23" s="15" t="n"/>
      <c r="F23" s="16" t="n"/>
      <c r="G23" s="15" t="n"/>
      <c r="H23" s="15" t="n"/>
      <c r="J23" s="15" t="n"/>
      <c r="K23" s="15" t="n"/>
    </row>
    <row r="24">
      <c r="D24" s="15" t="n"/>
      <c r="E24" s="15" t="n"/>
      <c r="F24" s="16" t="n"/>
      <c r="G24" s="15" t="n"/>
      <c r="H24" s="15" t="n"/>
      <c r="J24" s="15" t="n"/>
      <c r="K24" s="15" t="n"/>
    </row>
    <row r="25">
      <c r="D25" s="15" t="n"/>
      <c r="E25" s="15" t="n"/>
      <c r="F25" s="16" t="n"/>
      <c r="G25" s="15" t="n"/>
      <c r="H25" s="15" t="n"/>
      <c r="J25" s="15" t="n"/>
      <c r="K25" s="15" t="n"/>
    </row>
    <row r="26">
      <c r="D26" s="15" t="n"/>
      <c r="E26" s="15" t="n"/>
      <c r="F26" s="16" t="n"/>
      <c r="G26" s="15" t="n"/>
      <c r="H26" s="15" t="n"/>
      <c r="J26" s="15" t="n"/>
      <c r="K26" s="15" t="n"/>
    </row>
    <row r="27">
      <c r="D27" s="15" t="n"/>
      <c r="E27" s="15" t="n"/>
      <c r="F27" s="16" t="n"/>
      <c r="G27" s="15" t="n"/>
      <c r="H27" s="15" t="n"/>
      <c r="J27" s="15" t="n"/>
      <c r="K27" s="15" t="n"/>
    </row>
    <row r="28">
      <c r="D28" s="15" t="n"/>
      <c r="E28" s="15" t="n"/>
      <c r="F28" s="16" t="n"/>
      <c r="G28" s="15" t="n"/>
      <c r="H28" s="15" t="n"/>
      <c r="J28" s="15" t="n"/>
      <c r="K28" s="15" t="n"/>
    </row>
    <row r="29">
      <c r="D29" s="15" t="n"/>
      <c r="E29" s="15" t="n"/>
      <c r="F29" s="16" t="n"/>
      <c r="G29" s="15" t="n"/>
      <c r="H29" s="15" t="n"/>
      <c r="J29" s="15" t="n"/>
      <c r="K29" s="15" t="n"/>
    </row>
    <row r="30">
      <c r="D30" s="15" t="n"/>
      <c r="E30" s="15" t="n"/>
      <c r="F30" s="16" t="n"/>
      <c r="G30" s="15" t="n"/>
      <c r="H30" s="15" t="n"/>
      <c r="J30" s="15" t="n"/>
      <c r="K30" s="15" t="n"/>
    </row>
    <row r="31">
      <c r="D31" s="15" t="n"/>
      <c r="E31" s="15" t="n"/>
      <c r="F31" s="16" t="n"/>
      <c r="G31" s="15" t="n"/>
      <c r="H31" s="15" t="n"/>
      <c r="J31" s="15" t="n"/>
      <c r="K31" s="15" t="n"/>
    </row>
    <row r="32">
      <c r="D32" s="15" t="n"/>
      <c r="E32" s="15" t="n"/>
      <c r="F32" s="16" t="n"/>
      <c r="G32" s="15" t="n"/>
      <c r="H32" s="15" t="n"/>
      <c r="J32" s="15" t="n"/>
      <c r="K32" s="15" t="n"/>
    </row>
    <row r="33">
      <c r="D33" s="15" t="n"/>
      <c r="E33" s="15" t="n"/>
      <c r="F33" s="16" t="n"/>
      <c r="G33" s="15" t="n"/>
      <c r="H33" s="15" t="n"/>
      <c r="J33" s="15" t="n"/>
      <c r="K33" s="15" t="n"/>
    </row>
    <row r="34">
      <c r="D34" s="15" t="n"/>
      <c r="E34" s="15" t="n"/>
      <c r="F34" s="16" t="n"/>
      <c r="G34" s="15" t="n"/>
      <c r="H34" s="15" t="n"/>
      <c r="J34" s="15" t="n"/>
      <c r="K34" s="15" t="n"/>
    </row>
    <row r="35">
      <c r="D35" s="15" t="n"/>
      <c r="E35" s="15" t="n"/>
      <c r="F35" s="16" t="n"/>
      <c r="G35" s="15" t="n"/>
      <c r="H35" s="15" t="n"/>
      <c r="J35" s="15" t="n"/>
      <c r="K35" s="15" t="n"/>
    </row>
    <row r="36">
      <c r="D36" s="15" t="n"/>
      <c r="E36" s="15" t="n"/>
      <c r="F36" s="16" t="n"/>
      <c r="G36" s="15" t="n"/>
      <c r="H36" s="15" t="n"/>
      <c r="J36" s="15" t="n"/>
      <c r="K36" s="15" t="n"/>
    </row>
    <row r="37">
      <c r="D37" s="15" t="n"/>
      <c r="E37" s="15" t="n"/>
      <c r="F37" s="16" t="n"/>
      <c r="G37" s="15" t="n"/>
      <c r="H37" s="15" t="n"/>
      <c r="J37" s="15" t="n"/>
      <c r="K37" s="15" t="n"/>
    </row>
    <row r="38">
      <c r="D38" s="15" t="n"/>
      <c r="E38" s="15" t="n"/>
      <c r="F38" s="16" t="n"/>
      <c r="G38" s="15" t="n"/>
      <c r="H38" s="15" t="n"/>
      <c r="J38" s="15" t="n"/>
      <c r="K38" s="15" t="n"/>
    </row>
    <row r="39">
      <c r="D39" s="15" t="n"/>
      <c r="E39" s="15" t="n"/>
      <c r="F39" s="16" t="n"/>
      <c r="G39" s="15" t="n"/>
      <c r="H39" s="15" t="n"/>
      <c r="J39" s="15" t="n"/>
      <c r="K39" s="15" t="n"/>
    </row>
    <row r="40">
      <c r="D40" s="15" t="n"/>
      <c r="E40" s="15" t="n"/>
      <c r="F40" s="16" t="n"/>
      <c r="G40" s="15" t="n"/>
      <c r="H40" s="15" t="n"/>
      <c r="J40" s="15" t="n"/>
      <c r="K40" s="15" t="n"/>
    </row>
    <row r="41">
      <c r="D41" s="15" t="n"/>
      <c r="E41" s="15" t="n"/>
      <c r="F41" s="16" t="n"/>
      <c r="G41" s="15" t="n"/>
      <c r="H41" s="15" t="n"/>
      <c r="J41" s="15" t="n"/>
      <c r="K41" s="15" t="n"/>
    </row>
    <row r="42">
      <c r="D42" s="15" t="n"/>
      <c r="E42" s="15" t="n"/>
      <c r="F42" s="16" t="n"/>
      <c r="G42" s="15" t="n"/>
      <c r="H42" s="15" t="n"/>
      <c r="J42" s="15" t="n"/>
      <c r="K42" s="15" t="n"/>
    </row>
    <row r="43">
      <c r="D43" s="15" t="n"/>
      <c r="E43" s="15" t="n"/>
      <c r="F43" s="16" t="n"/>
      <c r="G43" s="15" t="n"/>
      <c r="H43" s="15" t="n"/>
      <c r="J43" s="15" t="n"/>
      <c r="K43" s="15" t="n"/>
    </row>
    <row r="44">
      <c r="D44" s="15" t="n"/>
      <c r="E44" s="15" t="n"/>
      <c r="F44" s="16" t="n"/>
      <c r="G44" s="15" t="n"/>
      <c r="H44" s="15" t="n"/>
      <c r="J44" s="15" t="n"/>
      <c r="K44" s="15" t="n"/>
    </row>
    <row r="45">
      <c r="D45" s="15" t="n"/>
      <c r="E45" s="15" t="n"/>
      <c r="F45" s="16" t="n"/>
      <c r="G45" s="15" t="n"/>
      <c r="H45" s="15" t="n"/>
      <c r="J45" s="15" t="n"/>
      <c r="K45" s="15" t="n"/>
    </row>
    <row r="46">
      <c r="D46" s="15" t="n"/>
      <c r="E46" s="15" t="n"/>
      <c r="F46" s="16" t="n"/>
      <c r="G46" s="15" t="n"/>
      <c r="H46" s="15" t="n"/>
      <c r="J46" s="15" t="n"/>
      <c r="K46" s="15" t="n"/>
    </row>
    <row r="47">
      <c r="D47" s="15" t="n"/>
      <c r="E47" s="15" t="n"/>
      <c r="F47" s="16" t="n"/>
      <c r="G47" s="15" t="n"/>
      <c r="H47" s="15" t="n"/>
      <c r="J47" s="15" t="n"/>
      <c r="K47" s="15" t="n"/>
    </row>
    <row r="48">
      <c r="D48" s="15" t="n"/>
      <c r="E48" s="15" t="n"/>
      <c r="F48" s="16" t="n"/>
      <c r="G48" s="15" t="n"/>
      <c r="H48" s="15" t="n"/>
      <c r="J48" s="15" t="n"/>
      <c r="K48" s="15" t="n"/>
    </row>
    <row r="49">
      <c r="D49" s="15" t="n"/>
      <c r="E49" s="15" t="n"/>
      <c r="F49" s="16" t="n"/>
      <c r="G49" s="15" t="n"/>
      <c r="H49" s="15" t="n"/>
      <c r="J49" s="15" t="n"/>
      <c r="K49" s="15" t="n"/>
    </row>
    <row r="50">
      <c r="D50" s="15" t="n"/>
      <c r="E50" s="15" t="n"/>
      <c r="F50" s="16" t="n"/>
      <c r="G50" s="15" t="n"/>
      <c r="H50" s="15" t="n"/>
      <c r="J50" s="15" t="n"/>
      <c r="K50" s="15" t="n"/>
    </row>
    <row r="51">
      <c r="D51" s="15" t="n"/>
      <c r="E51" s="15" t="n"/>
      <c r="F51" s="16" t="n"/>
      <c r="G51" s="15" t="n"/>
      <c r="H51" s="15" t="n"/>
      <c r="J51" s="15" t="n"/>
      <c r="K51" s="15" t="n"/>
    </row>
    <row r="52">
      <c r="D52" s="15" t="n"/>
      <c r="E52" s="15" t="n"/>
      <c r="F52" s="16" t="n"/>
      <c r="G52" s="15" t="n"/>
      <c r="H52" s="15" t="n"/>
      <c r="J52" s="15" t="n"/>
      <c r="K52" s="15" t="n"/>
    </row>
    <row r="53">
      <c r="D53" s="15" t="n"/>
      <c r="E53" s="15" t="n"/>
      <c r="F53" s="16" t="n"/>
      <c r="G53" s="15" t="n"/>
      <c r="H53" s="15" t="n"/>
      <c r="J53" s="15" t="n"/>
      <c r="K53" s="15" t="n"/>
    </row>
    <row r="54">
      <c r="D54" s="15" t="n"/>
      <c r="E54" s="15" t="n"/>
      <c r="F54" s="16" t="n"/>
      <c r="G54" s="15" t="n"/>
      <c r="H54" s="15" t="n"/>
      <c r="J54" s="15" t="n"/>
      <c r="K54" s="15" t="n"/>
    </row>
    <row r="55">
      <c r="D55" s="15" t="n"/>
      <c r="E55" s="15" t="n"/>
      <c r="F55" s="16" t="n"/>
      <c r="G55" s="15" t="n"/>
      <c r="H55" s="15" t="n"/>
      <c r="J55" s="15" t="n"/>
      <c r="K55" s="15" t="n"/>
    </row>
    <row r="56">
      <c r="D56" s="15" t="n"/>
      <c r="E56" s="15" t="n"/>
      <c r="F56" s="16" t="n"/>
      <c r="G56" s="15" t="n"/>
      <c r="H56" s="15" t="n"/>
      <c r="J56" s="15" t="n"/>
      <c r="K56" s="15" t="n"/>
    </row>
    <row r="57">
      <c r="D57" s="15" t="n"/>
      <c r="E57" s="15" t="n"/>
      <c r="F57" s="16" t="n"/>
      <c r="G57" s="15" t="n"/>
      <c r="H57" s="15" t="n"/>
      <c r="J57" s="15" t="n"/>
      <c r="K57" s="15" t="n"/>
    </row>
    <row r="58">
      <c r="D58" s="15" t="n"/>
      <c r="E58" s="15" t="n"/>
      <c r="F58" s="16" t="n"/>
      <c r="G58" s="15" t="n"/>
      <c r="H58" s="15" t="n"/>
      <c r="J58" s="15" t="n"/>
      <c r="K58" s="15" t="n"/>
    </row>
    <row r="59">
      <c r="D59" s="15" t="n"/>
      <c r="E59" s="15" t="n"/>
      <c r="F59" s="16" t="n"/>
      <c r="G59" s="15" t="n"/>
      <c r="H59" s="15" t="n"/>
      <c r="J59" s="15" t="n"/>
      <c r="K59" s="15" t="n"/>
    </row>
    <row r="60">
      <c r="D60" s="15" t="n"/>
      <c r="E60" s="15" t="n"/>
      <c r="F60" s="16" t="n"/>
      <c r="G60" s="15" t="n"/>
      <c r="H60" s="15" t="n"/>
      <c r="J60" s="15" t="n"/>
      <c r="K60" s="15" t="n"/>
    </row>
    <row r="61">
      <c r="D61" s="15" t="n"/>
      <c r="E61" s="15" t="n"/>
      <c r="F61" s="16" t="n"/>
      <c r="G61" s="15" t="n"/>
      <c r="H61" s="15" t="n"/>
      <c r="J61" s="15" t="n"/>
      <c r="K61" s="15" t="n"/>
    </row>
    <row r="62">
      <c r="D62" s="15" t="n"/>
      <c r="E62" s="15" t="n"/>
      <c r="F62" s="16" t="n"/>
      <c r="G62" s="15" t="n"/>
      <c r="H62" s="15" t="n"/>
      <c r="J62" s="15" t="n"/>
      <c r="K62" s="15" t="n"/>
    </row>
    <row r="63">
      <c r="D63" s="15" t="n"/>
      <c r="E63" s="15" t="n"/>
      <c r="F63" s="16" t="n"/>
      <c r="G63" s="15" t="n"/>
      <c r="H63" s="15" t="n"/>
      <c r="J63" s="15" t="n"/>
      <c r="K63" s="15" t="n"/>
    </row>
    <row r="64">
      <c r="D64" s="15" t="n"/>
      <c r="E64" s="15" t="n"/>
      <c r="F64" s="16" t="n"/>
      <c r="G64" s="15" t="n"/>
      <c r="H64" s="15" t="n"/>
      <c r="J64" s="15" t="n"/>
      <c r="K64" s="15" t="n"/>
    </row>
    <row r="65">
      <c r="D65" s="15" t="n"/>
      <c r="E65" s="15" t="n"/>
      <c r="F65" s="16" t="n"/>
      <c r="G65" s="15" t="n"/>
      <c r="H65" s="15" t="n"/>
      <c r="J65" s="15" t="n"/>
      <c r="K65" s="15" t="n"/>
    </row>
    <row r="66">
      <c r="D66" s="15" t="n"/>
      <c r="E66" s="15" t="n"/>
      <c r="F66" s="16" t="n"/>
      <c r="G66" s="15" t="n"/>
      <c r="H66" s="15" t="n"/>
      <c r="J66" s="15" t="n"/>
      <c r="K66" s="15" t="n"/>
    </row>
    <row r="67">
      <c r="D67" s="15" t="n"/>
      <c r="E67" s="15" t="n"/>
      <c r="F67" s="16" t="n"/>
      <c r="G67" s="15" t="n"/>
      <c r="H67" s="15" t="n"/>
      <c r="J67" s="15" t="n"/>
      <c r="K67" s="15" t="n"/>
    </row>
    <row r="68">
      <c r="D68" s="15" t="n"/>
      <c r="E68" s="15" t="n"/>
      <c r="F68" s="16" t="n"/>
      <c r="G68" s="15" t="n"/>
      <c r="H68" s="15" t="n"/>
      <c r="J68" s="15" t="n"/>
      <c r="K68" s="15" t="n"/>
    </row>
    <row r="69">
      <c r="D69" s="15" t="n"/>
      <c r="E69" s="15" t="n"/>
      <c r="F69" s="16" t="n"/>
      <c r="G69" s="15" t="n"/>
      <c r="H69" s="15" t="n"/>
      <c r="J69" s="15" t="n"/>
      <c r="K69" s="15" t="n"/>
    </row>
    <row r="70">
      <c r="D70" s="15" t="n"/>
      <c r="E70" s="15" t="n"/>
      <c r="F70" s="16" t="n"/>
      <c r="G70" s="15" t="n"/>
      <c r="H70" s="15" t="n"/>
      <c r="J70" s="15" t="n"/>
      <c r="K70" s="15" t="n"/>
    </row>
    <row r="71">
      <c r="D71" s="15" t="n"/>
      <c r="E71" s="15" t="n"/>
      <c r="F71" s="16" t="n"/>
      <c r="G71" s="15" t="n"/>
      <c r="H71" s="15" t="n"/>
      <c r="J71" s="15" t="n"/>
      <c r="K71" s="15" t="n"/>
    </row>
    <row r="72">
      <c r="D72" s="15" t="n"/>
      <c r="E72" s="15" t="n"/>
      <c r="F72" s="16" t="n"/>
      <c r="G72" s="15" t="n"/>
      <c r="H72" s="15" t="n"/>
      <c r="J72" s="15" t="n"/>
      <c r="K72" s="15" t="n"/>
    </row>
    <row r="73">
      <c r="D73" s="15" t="n"/>
      <c r="E73" s="15" t="n"/>
      <c r="F73" s="16" t="n"/>
      <c r="G73" s="15" t="n"/>
      <c r="H73" s="15" t="n"/>
      <c r="J73" s="15" t="n"/>
      <c r="K73" s="15" t="n"/>
    </row>
    <row r="74">
      <c r="D74" s="15" t="n"/>
      <c r="E74" s="15" t="n"/>
      <c r="F74" s="16" t="n"/>
      <c r="G74" s="15" t="n"/>
      <c r="H74" s="15" t="n"/>
      <c r="J74" s="15" t="n"/>
      <c r="K74" s="15" t="n"/>
    </row>
    <row r="75">
      <c r="D75" s="15" t="n"/>
      <c r="E75" s="15" t="n"/>
      <c r="F75" s="16" t="n"/>
      <c r="G75" s="15" t="n"/>
      <c r="H75" s="15" t="n"/>
      <c r="J75" s="15" t="n"/>
      <c r="K75" s="15" t="n"/>
    </row>
    <row r="76">
      <c r="D76" s="15" t="n"/>
      <c r="E76" s="15" t="n"/>
      <c r="F76" s="16" t="n"/>
      <c r="G76" s="15" t="n"/>
      <c r="H76" s="15" t="n"/>
      <c r="J76" s="15" t="n"/>
      <c r="K76" s="15" t="n"/>
    </row>
    <row r="77">
      <c r="D77" s="15" t="n"/>
      <c r="E77" s="15" t="n"/>
      <c r="F77" s="16" t="n"/>
      <c r="G77" s="15" t="n"/>
      <c r="H77" s="15" t="n"/>
      <c r="J77" s="15" t="n"/>
      <c r="K77" s="15" t="n"/>
    </row>
    <row r="78">
      <c r="D78" s="15" t="n"/>
      <c r="E78" s="15" t="n"/>
      <c r="F78" s="16" t="n"/>
      <c r="G78" s="15" t="n"/>
      <c r="H78" s="15" t="n"/>
      <c r="J78" s="15" t="n"/>
      <c r="K78" s="15" t="n"/>
    </row>
    <row r="79">
      <c r="D79" s="15" t="n"/>
      <c r="E79" s="15" t="n"/>
      <c r="F79" s="16" t="n"/>
      <c r="G79" s="15" t="n"/>
      <c r="H79" s="15" t="n"/>
      <c r="J79" s="15" t="n"/>
      <c r="K79" s="15" t="n"/>
    </row>
    <row r="80">
      <c r="D80" s="15" t="n"/>
      <c r="E80" s="15" t="n"/>
      <c r="F80" s="16" t="n"/>
      <c r="G80" s="15" t="n"/>
      <c r="H80" s="15" t="n"/>
      <c r="J80" s="15" t="n"/>
      <c r="K80" s="15" t="n"/>
    </row>
    <row r="81">
      <c r="D81" s="15" t="n"/>
      <c r="E81" s="15" t="n"/>
      <c r="F81" s="16" t="n"/>
      <c r="G81" s="15" t="n"/>
      <c r="H81" s="15" t="n"/>
      <c r="J81" s="15" t="n"/>
      <c r="K81" s="15" t="n"/>
    </row>
    <row r="82">
      <c r="D82" s="15" t="n"/>
      <c r="E82" s="15" t="n"/>
      <c r="F82" s="16" t="n"/>
      <c r="G82" s="15" t="n"/>
      <c r="H82" s="15" t="n"/>
      <c r="J82" s="15" t="n"/>
      <c r="K82" s="15" t="n"/>
    </row>
    <row r="83">
      <c r="D83" s="15" t="n"/>
      <c r="E83" s="15" t="n"/>
      <c r="F83" s="16" t="n"/>
      <c r="G83" s="15" t="n"/>
      <c r="H83" s="15" t="n"/>
      <c r="J83" s="15" t="n"/>
      <c r="K83" s="15" t="n"/>
    </row>
    <row r="84">
      <c r="D84" s="15" t="n"/>
      <c r="E84" s="15" t="n"/>
      <c r="F84" s="16" t="n"/>
      <c r="G84" s="15" t="n"/>
      <c r="H84" s="15" t="n"/>
      <c r="J84" s="15" t="n"/>
      <c r="K84" s="15" t="n"/>
    </row>
    <row r="85">
      <c r="D85" s="15" t="n"/>
      <c r="E85" s="15" t="n"/>
      <c r="F85" s="16" t="n"/>
      <c r="G85" s="15" t="n"/>
      <c r="H85" s="15" t="n"/>
      <c r="J85" s="15" t="n"/>
      <c r="K85" s="15" t="n"/>
    </row>
    <row r="86">
      <c r="D86" s="15" t="n"/>
      <c r="E86" s="15" t="n"/>
      <c r="F86" s="16" t="n"/>
      <c r="G86" s="15" t="n"/>
      <c r="H86" s="15" t="n"/>
      <c r="J86" s="15" t="n"/>
      <c r="K86" s="15" t="n"/>
    </row>
    <row r="87">
      <c r="D87" s="15" t="n"/>
      <c r="E87" s="15" t="n"/>
      <c r="F87" s="16" t="n"/>
      <c r="G87" s="15" t="n"/>
      <c r="H87" s="15" t="n"/>
      <c r="J87" s="15" t="n"/>
      <c r="K87" s="15" t="n"/>
    </row>
    <row r="88">
      <c r="D88" s="15" t="n"/>
      <c r="E88" s="15" t="n"/>
      <c r="F88" s="16" t="n"/>
      <c r="G88" s="15" t="n"/>
      <c r="H88" s="15" t="n"/>
      <c r="J88" s="15" t="n"/>
      <c r="K88" s="15" t="n"/>
    </row>
    <row r="89">
      <c r="D89" s="15" t="n"/>
      <c r="E89" s="15" t="n"/>
      <c r="F89" s="16" t="n"/>
      <c r="G89" s="15" t="n"/>
      <c r="H89" s="15" t="n"/>
      <c r="J89" s="15" t="n"/>
      <c r="K89" s="15" t="n"/>
    </row>
    <row r="90">
      <c r="D90" s="15" t="n"/>
      <c r="E90" s="15" t="n"/>
      <c r="F90" s="16" t="n"/>
      <c r="G90" s="15" t="n"/>
      <c r="H90" s="15" t="n"/>
      <c r="J90" s="15" t="n"/>
      <c r="K90" s="15" t="n"/>
    </row>
    <row r="91">
      <c r="D91" s="15" t="n"/>
      <c r="E91" s="15" t="n"/>
      <c r="F91" s="16" t="n"/>
      <c r="G91" s="15" t="n"/>
      <c r="H91" s="15" t="n"/>
      <c r="J91" s="15" t="n"/>
      <c r="K91" s="15" t="n"/>
    </row>
    <row r="92">
      <c r="D92" s="15" t="n"/>
      <c r="E92" s="15" t="n"/>
      <c r="F92" s="16" t="n"/>
      <c r="G92" s="15" t="n"/>
      <c r="H92" s="15" t="n"/>
      <c r="J92" s="15" t="n"/>
      <c r="K92" s="15" t="n"/>
    </row>
    <row r="93">
      <c r="D93" s="15" t="n"/>
      <c r="E93" s="15" t="n"/>
      <c r="F93" s="16" t="n"/>
      <c r="G93" s="15" t="n"/>
      <c r="H93" s="15" t="n"/>
      <c r="J93" s="15" t="n"/>
      <c r="K93" s="15" t="n"/>
    </row>
    <row r="94">
      <c r="D94" s="15" t="n"/>
      <c r="E94" s="15" t="n"/>
      <c r="F94" s="16" t="n"/>
      <c r="G94" s="15" t="n"/>
      <c r="H94" s="15" t="n"/>
      <c r="J94" s="15" t="n"/>
      <c r="K94" s="15" t="n"/>
    </row>
    <row r="95">
      <c r="D95" s="15" t="n"/>
      <c r="E95" s="15" t="n"/>
      <c r="F95" s="16" t="n"/>
      <c r="G95" s="15" t="n"/>
      <c r="H95" s="15" t="n"/>
      <c r="J95" s="15" t="n"/>
      <c r="K95" s="15" t="n"/>
    </row>
    <row r="96">
      <c r="D96" s="15" t="n"/>
      <c r="E96" s="15" t="n"/>
      <c r="F96" s="16" t="n"/>
      <c r="G96" s="15" t="n"/>
      <c r="H96" s="15" t="n"/>
      <c r="J96" s="15" t="n"/>
      <c r="K96" s="15" t="n"/>
    </row>
    <row r="97">
      <c r="D97" s="15" t="n"/>
      <c r="E97" s="15" t="n"/>
      <c r="F97" s="16" t="n"/>
      <c r="G97" s="15" t="n"/>
      <c r="H97" s="15" t="n"/>
      <c r="J97" s="15" t="n"/>
      <c r="K97" s="15" t="n"/>
    </row>
    <row r="98">
      <c r="D98" s="15" t="n"/>
      <c r="E98" s="15" t="n"/>
      <c r="F98" s="16" t="n"/>
      <c r="G98" s="15" t="n"/>
      <c r="H98" s="15" t="n"/>
      <c r="J98" s="15" t="n"/>
      <c r="K98" s="15" t="n"/>
    </row>
    <row r="99">
      <c r="D99" s="15" t="n"/>
      <c r="E99" s="15" t="n"/>
      <c r="F99" s="16" t="n"/>
      <c r="G99" s="15" t="n"/>
      <c r="H99" s="15" t="n"/>
      <c r="J99" s="15" t="n"/>
      <c r="K99" s="15" t="n"/>
    </row>
    <row r="100">
      <c r="D100" s="15" t="n"/>
      <c r="E100" s="15" t="n"/>
      <c r="F100" s="16" t="n"/>
      <c r="G100" s="15" t="n"/>
      <c r="H100" s="15" t="n"/>
      <c r="J100" s="15" t="n"/>
      <c r="K100" s="15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Q1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  <col width="18" customWidth="1" min="5" max="5"/>
    <col width="14" customWidth="1" min="6" max="6"/>
    <col width="12" customWidth="1" min="7" max="7"/>
    <col width="14" customWidth="1" min="8" max="8"/>
    <col width="12" customWidth="1" min="9" max="9"/>
    <col width="18" customWidth="1" min="10" max="10"/>
    <col width="18" customWidth="1" min="11" max="11"/>
    <col width="32" customWidth="1" min="12" max="12"/>
  </cols>
  <sheetData>
    <row r="2">
      <c r="B2" s="11" t="inlineStr">
        <is>
          <t>Savings Goals</t>
        </is>
      </c>
    </row>
    <row r="3">
      <c r="B3" s="12" t="inlineStr">
        <is>
          <t>Track sinking funds, emergency fund and financial goals</t>
        </is>
      </c>
    </row>
    <row r="5">
      <c r="A5" s="9" t="inlineStr">
        <is>
          <t>Goal</t>
        </is>
      </c>
      <c r="B5" s="9" t="inlineStr">
        <is>
          <t>Goal Type</t>
        </is>
      </c>
      <c r="C5" s="9" t="inlineStr">
        <is>
          <t>Target Amount</t>
        </is>
      </c>
      <c r="D5" s="9" t="inlineStr">
        <is>
          <t>Current Amount</t>
        </is>
      </c>
      <c r="E5" s="9" t="inlineStr">
        <is>
          <t>Monthly Contribution</t>
        </is>
      </c>
      <c r="F5" s="9" t="inlineStr">
        <is>
          <t>Target Date</t>
        </is>
      </c>
      <c r="G5" s="9" t="inlineStr">
        <is>
          <t>Progress</t>
        </is>
      </c>
      <c r="H5" s="9" t="inlineStr">
        <is>
          <t>Remaining</t>
        </is>
      </c>
      <c r="I5" s="9" t="inlineStr">
        <is>
          <t>Months Left</t>
        </is>
      </c>
      <c r="J5" s="9" t="inlineStr">
        <is>
          <t>Required Monthly</t>
        </is>
      </c>
      <c r="K5" s="9" t="inlineStr">
        <is>
          <t>Status</t>
        </is>
      </c>
      <c r="L5" s="9" t="inlineStr">
        <is>
          <t>Notes</t>
        </is>
      </c>
      <c r="P5" s="9" t="inlineStr">
        <is>
          <t>Emergency Fund</t>
        </is>
      </c>
      <c r="Q5" s="9" t="inlineStr">
        <is>
          <t>Amount</t>
        </is>
      </c>
    </row>
    <row r="6">
      <c r="A6" s="10" t="inlineStr">
        <is>
          <t>Emergency Fund</t>
        </is>
      </c>
      <c r="B6" s="10" t="inlineStr">
        <is>
          <t>Safety</t>
        </is>
      </c>
      <c r="C6" s="13" t="n">
        <v>30000</v>
      </c>
      <c r="D6" s="13" t="n">
        <v>21200</v>
      </c>
      <c r="E6" s="13" t="n">
        <v>850</v>
      </c>
      <c r="F6" s="10" t="inlineStr">
        <is>
          <t>2026-12-31</t>
        </is>
      </c>
      <c r="G6" s="14">
        <f>IF(C6=0,0,D6/C6)</f>
        <v/>
      </c>
      <c r="H6" s="13">
        <f>MAX(0,C6-D6)</f>
        <v/>
      </c>
      <c r="I6" s="10">
        <f>MAX(0,DATEDIF(TODAY(),F6,"m"))</f>
        <v/>
      </c>
      <c r="J6" s="13">
        <f>IF(I6=0,H6,H6/I6)</f>
        <v/>
      </c>
      <c r="K6" s="10">
        <f>IF(G6&gt;=1,"✅ Complete",IF(E6&gt;=J6,"🟢 On Track",IF(E6&gt;=J6*0.75,"🟡 Watch","🔴 Needs More")))</f>
        <v/>
      </c>
      <c r="L6" s="10" t="inlineStr">
        <is>
          <t>Six months expenses</t>
        </is>
      </c>
      <c r="P6" s="10" t="inlineStr">
        <is>
          <t>Current</t>
        </is>
      </c>
      <c r="Q6" s="10">
        <f>D6</f>
        <v/>
      </c>
    </row>
    <row r="7">
      <c r="A7" s="10" t="inlineStr">
        <is>
          <t>National Parks Vacation</t>
        </is>
      </c>
      <c r="B7" s="10" t="inlineStr">
        <is>
          <t>Travel</t>
        </is>
      </c>
      <c r="C7" s="13" t="n">
        <v>6500</v>
      </c>
      <c r="D7" s="13" t="n">
        <v>2300</v>
      </c>
      <c r="E7" s="13" t="n">
        <v>600</v>
      </c>
      <c r="F7" s="10" t="inlineStr">
        <is>
          <t>2026-10-31</t>
        </is>
      </c>
      <c r="G7" s="14">
        <f>IF(C7=0,0,D7/C7)</f>
        <v/>
      </c>
      <c r="H7" s="13">
        <f>MAX(0,C7-D7)</f>
        <v/>
      </c>
      <c r="I7" s="10">
        <f>MAX(0,DATEDIF(TODAY(),F7,"m"))</f>
        <v/>
      </c>
      <c r="J7" s="13">
        <f>IF(I7=0,H7,H7/I7)</f>
        <v/>
      </c>
      <c r="K7" s="10">
        <f>IF(G7&gt;=1,"✅ Complete",IF(E7&gt;=J7,"🟢 On Track",IF(E7&gt;=J7*0.75,"🟡 Watch","🔴 Needs More")))</f>
        <v/>
      </c>
      <c r="L7" s="10" t="inlineStr">
        <is>
          <t>Travel fund</t>
        </is>
      </c>
      <c r="P7" s="10" t="inlineStr">
        <is>
          <t>Remaining</t>
        </is>
      </c>
      <c r="Q7" s="10">
        <f>H6</f>
        <v/>
      </c>
    </row>
    <row r="8">
      <c r="A8" s="10" t="inlineStr">
        <is>
          <t>Home Down Payment</t>
        </is>
      </c>
      <c r="B8" s="10" t="inlineStr">
        <is>
          <t>Major Purchase</t>
        </is>
      </c>
      <c r="C8" s="13" t="n">
        <v>120000</v>
      </c>
      <c r="D8" s="13" t="n">
        <v>38500</v>
      </c>
      <c r="E8" s="13" t="n">
        <v>1500</v>
      </c>
      <c r="F8" s="10" t="inlineStr">
        <is>
          <t>2028-12-31</t>
        </is>
      </c>
      <c r="G8" s="14">
        <f>IF(C8=0,0,D8/C8)</f>
        <v/>
      </c>
      <c r="H8" s="13">
        <f>MAX(0,C8-D8)</f>
        <v/>
      </c>
      <c r="I8" s="10">
        <f>MAX(0,DATEDIF(TODAY(),F8,"m"))</f>
        <v/>
      </c>
      <c r="J8" s="13">
        <f>IF(I8=0,H8,H8/I8)</f>
        <v/>
      </c>
      <c r="K8" s="10">
        <f>IF(G8&gt;=1,"✅ Complete",IF(E8&gt;=J8,"🟢 On Track",IF(E8&gt;=J8*0.75,"🟡 Watch","🔴 Needs More")))</f>
        <v/>
      </c>
      <c r="L8" s="10" t="inlineStr">
        <is>
          <t>Down payment</t>
        </is>
      </c>
    </row>
    <row r="9">
      <c r="A9" s="10" t="inlineStr">
        <is>
          <t>Holiday Gifts</t>
        </is>
      </c>
      <c r="B9" s="10" t="inlineStr">
        <is>
          <t>Sinking Fund</t>
        </is>
      </c>
      <c r="C9" s="13" t="n">
        <v>2500</v>
      </c>
      <c r="D9" s="13" t="n">
        <v>650</v>
      </c>
      <c r="E9" s="13" t="n">
        <v>250</v>
      </c>
      <c r="F9" s="10" t="inlineStr">
        <is>
          <t>2026-12-01</t>
        </is>
      </c>
      <c r="G9" s="14">
        <f>IF(C9=0,0,D9/C9)</f>
        <v/>
      </c>
      <c r="H9" s="13">
        <f>MAX(0,C9-D9)</f>
        <v/>
      </c>
      <c r="I9" s="10">
        <f>MAX(0,DATEDIF(TODAY(),F9,"m"))</f>
        <v/>
      </c>
      <c r="J9" s="13">
        <f>IF(I9=0,H9,H9/I9)</f>
        <v/>
      </c>
      <c r="K9" s="10">
        <f>IF(G9&gt;=1,"✅ Complete",IF(E9&gt;=J9,"🟢 On Track",IF(E9&gt;=J9*0.75,"🟡 Watch","🔴 Needs More")))</f>
        <v/>
      </c>
      <c r="L9" s="10" t="inlineStr">
        <is>
          <t>Gifts</t>
        </is>
      </c>
    </row>
    <row r="10">
      <c r="A10" s="10" t="inlineStr">
        <is>
          <t>New Laptop</t>
        </is>
      </c>
      <c r="B10" s="10" t="inlineStr">
        <is>
          <t>Sinking Fund</t>
        </is>
      </c>
      <c r="C10" s="13" t="n">
        <v>2200</v>
      </c>
      <c r="D10" s="13" t="n">
        <v>900</v>
      </c>
      <c r="E10" s="13" t="n">
        <v>250</v>
      </c>
      <c r="F10" s="10" t="inlineStr">
        <is>
          <t>2026-09-30</t>
        </is>
      </c>
      <c r="G10" s="14">
        <f>IF(C10=0,0,D10/C10)</f>
        <v/>
      </c>
      <c r="H10" s="13">
        <f>MAX(0,C10-D10)</f>
        <v/>
      </c>
      <c r="I10" s="10">
        <f>MAX(0,DATEDIF(TODAY(),F10,"m"))</f>
        <v/>
      </c>
      <c r="J10" s="13">
        <f>IF(I10=0,H10,H10/I10)</f>
        <v/>
      </c>
      <c r="K10" s="10">
        <f>IF(G10&gt;=1,"✅ Complete",IF(E10&gt;=J10,"🟢 On Track",IF(E10&gt;=J10*0.75,"🟡 Watch","🔴 Needs More")))</f>
        <v/>
      </c>
      <c r="L10" s="10" t="inlineStr">
        <is>
          <t>Laptop</t>
        </is>
      </c>
    </row>
    <row r="11">
      <c r="C11" s="15" t="n"/>
      <c r="D11" s="15" t="n"/>
      <c r="E11" s="15" t="n"/>
      <c r="G11" s="16" t="n"/>
      <c r="H11" s="15" t="n"/>
      <c r="J11" s="15" t="n"/>
    </row>
    <row r="12">
      <c r="C12" s="15" t="n"/>
      <c r="D12" s="15" t="n"/>
      <c r="E12" s="15" t="n"/>
      <c r="G12" s="16" t="n"/>
      <c r="H12" s="15" t="n"/>
      <c r="J12" s="15" t="n"/>
    </row>
    <row r="13">
      <c r="C13" s="15" t="n"/>
      <c r="D13" s="15" t="n"/>
      <c r="E13" s="15" t="n"/>
      <c r="G13" s="16" t="n"/>
      <c r="H13" s="15" t="n"/>
      <c r="J13" s="15" t="n"/>
    </row>
    <row r="14">
      <c r="C14" s="15" t="n"/>
      <c r="D14" s="15" t="n"/>
      <c r="E14" s="15" t="n"/>
      <c r="G14" s="16" t="n"/>
      <c r="H14" s="15" t="n"/>
      <c r="J14" s="15" t="n"/>
    </row>
    <row r="15">
      <c r="C15" s="15" t="n"/>
      <c r="D15" s="15" t="n"/>
      <c r="E15" s="15" t="n"/>
      <c r="G15" s="16" t="n"/>
      <c r="H15" s="15" t="n"/>
      <c r="J15" s="15" t="n"/>
    </row>
    <row r="16">
      <c r="C16" s="15" t="n"/>
      <c r="D16" s="15" t="n"/>
      <c r="E16" s="15" t="n"/>
      <c r="G16" s="16" t="n"/>
      <c r="H16" s="15" t="n"/>
      <c r="J16" s="15" t="n"/>
    </row>
    <row r="17">
      <c r="C17" s="15" t="n"/>
      <c r="D17" s="15" t="n"/>
      <c r="E17" s="15" t="n"/>
      <c r="G17" s="16" t="n"/>
      <c r="H17" s="15" t="n"/>
      <c r="J17" s="15" t="n"/>
    </row>
    <row r="18">
      <c r="C18" s="15" t="n"/>
      <c r="D18" s="15" t="n"/>
      <c r="E18" s="15" t="n"/>
      <c r="G18" s="16" t="n"/>
      <c r="H18" s="15" t="n"/>
      <c r="J18" s="15" t="n"/>
    </row>
    <row r="19">
      <c r="C19" s="15" t="n"/>
      <c r="D19" s="15" t="n"/>
      <c r="E19" s="15" t="n"/>
      <c r="G19" s="16" t="n"/>
      <c r="H19" s="15" t="n"/>
      <c r="J19" s="15" t="n"/>
    </row>
    <row r="20">
      <c r="C20" s="15" t="n"/>
      <c r="D20" s="15" t="n"/>
      <c r="E20" s="15" t="n"/>
      <c r="G20" s="16" t="n"/>
      <c r="H20" s="15" t="n"/>
      <c r="J20" s="15" t="n"/>
    </row>
    <row r="21">
      <c r="C21" s="15" t="n"/>
      <c r="D21" s="15" t="n"/>
      <c r="E21" s="15" t="n"/>
      <c r="G21" s="16" t="n"/>
      <c r="H21" s="15" t="n"/>
      <c r="J21" s="15" t="n"/>
    </row>
    <row r="22">
      <c r="C22" s="15" t="n"/>
      <c r="D22" s="15" t="n"/>
      <c r="E22" s="15" t="n"/>
      <c r="G22" s="16" t="n"/>
      <c r="H22" s="15" t="n"/>
      <c r="J22" s="15" t="n"/>
    </row>
    <row r="23">
      <c r="C23" s="15" t="n"/>
      <c r="D23" s="15" t="n"/>
      <c r="E23" s="15" t="n"/>
      <c r="G23" s="16" t="n"/>
      <c r="H23" s="15" t="n"/>
      <c r="J23" s="15" t="n"/>
    </row>
    <row r="24">
      <c r="C24" s="15" t="n"/>
      <c r="D24" s="15" t="n"/>
      <c r="E24" s="15" t="n"/>
      <c r="G24" s="16" t="n"/>
      <c r="H24" s="15" t="n"/>
      <c r="J24" s="15" t="n"/>
    </row>
    <row r="25">
      <c r="C25" s="15" t="n"/>
      <c r="D25" s="15" t="n"/>
      <c r="E25" s="15" t="n"/>
      <c r="G25" s="16" t="n"/>
      <c r="H25" s="15" t="n"/>
      <c r="J25" s="15" t="n"/>
    </row>
    <row r="26">
      <c r="C26" s="15" t="n"/>
      <c r="D26" s="15" t="n"/>
      <c r="E26" s="15" t="n"/>
      <c r="G26" s="16" t="n"/>
      <c r="H26" s="15" t="n"/>
      <c r="J26" s="15" t="n"/>
    </row>
    <row r="27">
      <c r="C27" s="15" t="n"/>
      <c r="D27" s="15" t="n"/>
      <c r="E27" s="15" t="n"/>
      <c r="G27" s="16" t="n"/>
      <c r="H27" s="15" t="n"/>
      <c r="J27" s="15" t="n"/>
    </row>
    <row r="28">
      <c r="C28" s="15" t="n"/>
      <c r="D28" s="15" t="n"/>
      <c r="E28" s="15" t="n"/>
      <c r="G28" s="16" t="n"/>
      <c r="H28" s="15" t="n"/>
      <c r="J28" s="15" t="n"/>
    </row>
    <row r="29">
      <c r="C29" s="15" t="n"/>
      <c r="D29" s="15" t="n"/>
      <c r="E29" s="15" t="n"/>
      <c r="G29" s="16" t="n"/>
      <c r="H29" s="15" t="n"/>
      <c r="J29" s="15" t="n"/>
    </row>
    <row r="30">
      <c r="C30" s="15" t="n"/>
      <c r="D30" s="15" t="n"/>
      <c r="E30" s="15" t="n"/>
      <c r="G30" s="16" t="n"/>
      <c r="H30" s="15" t="n"/>
      <c r="J30" s="15" t="n"/>
    </row>
    <row r="31">
      <c r="C31" s="15" t="n"/>
      <c r="D31" s="15" t="n"/>
      <c r="E31" s="15" t="n"/>
      <c r="G31" s="16" t="n"/>
      <c r="H31" s="15" t="n"/>
      <c r="J31" s="15" t="n"/>
    </row>
    <row r="32">
      <c r="C32" s="15" t="n"/>
      <c r="D32" s="15" t="n"/>
      <c r="E32" s="15" t="n"/>
      <c r="G32" s="16" t="n"/>
      <c r="H32" s="15" t="n"/>
      <c r="J32" s="15" t="n"/>
    </row>
    <row r="33">
      <c r="C33" s="15" t="n"/>
      <c r="D33" s="15" t="n"/>
      <c r="E33" s="15" t="n"/>
      <c r="G33" s="16" t="n"/>
      <c r="H33" s="15" t="n"/>
      <c r="J33" s="15" t="n"/>
    </row>
    <row r="34">
      <c r="C34" s="15" t="n"/>
      <c r="D34" s="15" t="n"/>
      <c r="E34" s="15" t="n"/>
      <c r="G34" s="16" t="n"/>
      <c r="H34" s="15" t="n"/>
      <c r="J34" s="15" t="n"/>
    </row>
    <row r="35">
      <c r="C35" s="15" t="n"/>
      <c r="D35" s="15" t="n"/>
      <c r="E35" s="15" t="n"/>
      <c r="G35" s="16" t="n"/>
      <c r="H35" s="15" t="n"/>
      <c r="J35" s="15" t="n"/>
    </row>
    <row r="36">
      <c r="C36" s="15" t="n"/>
      <c r="D36" s="15" t="n"/>
      <c r="E36" s="15" t="n"/>
      <c r="G36" s="16" t="n"/>
      <c r="H36" s="15" t="n"/>
      <c r="J36" s="15" t="n"/>
    </row>
    <row r="37">
      <c r="C37" s="15" t="n"/>
      <c r="D37" s="15" t="n"/>
      <c r="E37" s="15" t="n"/>
      <c r="G37" s="16" t="n"/>
      <c r="H37" s="15" t="n"/>
      <c r="J37" s="15" t="n"/>
    </row>
    <row r="38">
      <c r="C38" s="15" t="n"/>
      <c r="D38" s="15" t="n"/>
      <c r="E38" s="15" t="n"/>
      <c r="G38" s="16" t="n"/>
      <c r="H38" s="15" t="n"/>
      <c r="J38" s="15" t="n"/>
    </row>
    <row r="39">
      <c r="C39" s="15" t="n"/>
      <c r="D39" s="15" t="n"/>
      <c r="E39" s="15" t="n"/>
      <c r="G39" s="16" t="n"/>
      <c r="H39" s="15" t="n"/>
      <c r="J39" s="15" t="n"/>
    </row>
    <row r="40">
      <c r="C40" s="15" t="n"/>
      <c r="D40" s="15" t="n"/>
      <c r="E40" s="15" t="n"/>
      <c r="G40" s="16" t="n"/>
      <c r="H40" s="15" t="n"/>
      <c r="J40" s="15" t="n"/>
    </row>
    <row r="41">
      <c r="C41" s="15" t="n"/>
      <c r="D41" s="15" t="n"/>
      <c r="E41" s="15" t="n"/>
      <c r="G41" s="16" t="n"/>
      <c r="H41" s="15" t="n"/>
      <c r="J41" s="15" t="n"/>
    </row>
    <row r="42">
      <c r="C42" s="15" t="n"/>
      <c r="D42" s="15" t="n"/>
      <c r="E42" s="15" t="n"/>
      <c r="G42" s="16" t="n"/>
      <c r="H42" s="15" t="n"/>
      <c r="J42" s="15" t="n"/>
    </row>
    <row r="43">
      <c r="C43" s="15" t="n"/>
      <c r="D43" s="15" t="n"/>
      <c r="E43" s="15" t="n"/>
      <c r="G43" s="16" t="n"/>
      <c r="H43" s="15" t="n"/>
      <c r="J43" s="15" t="n"/>
    </row>
    <row r="44">
      <c r="C44" s="15" t="n"/>
      <c r="D44" s="15" t="n"/>
      <c r="E44" s="15" t="n"/>
      <c r="G44" s="16" t="n"/>
      <c r="H44" s="15" t="n"/>
      <c r="J44" s="15" t="n"/>
    </row>
    <row r="45">
      <c r="C45" s="15" t="n"/>
      <c r="D45" s="15" t="n"/>
      <c r="E45" s="15" t="n"/>
      <c r="G45" s="16" t="n"/>
      <c r="H45" s="15" t="n"/>
      <c r="J45" s="15" t="n"/>
    </row>
    <row r="46">
      <c r="C46" s="15" t="n"/>
      <c r="D46" s="15" t="n"/>
      <c r="E46" s="15" t="n"/>
      <c r="G46" s="16" t="n"/>
      <c r="H46" s="15" t="n"/>
      <c r="J46" s="15" t="n"/>
    </row>
    <row r="47">
      <c r="C47" s="15" t="n"/>
      <c r="D47" s="15" t="n"/>
      <c r="E47" s="15" t="n"/>
      <c r="G47" s="16" t="n"/>
      <c r="H47" s="15" t="n"/>
      <c r="J47" s="15" t="n"/>
    </row>
    <row r="48">
      <c r="C48" s="15" t="n"/>
      <c r="D48" s="15" t="n"/>
      <c r="E48" s="15" t="n"/>
      <c r="G48" s="16" t="n"/>
      <c r="H48" s="15" t="n"/>
      <c r="J48" s="15" t="n"/>
    </row>
    <row r="49">
      <c r="C49" s="15" t="n"/>
      <c r="D49" s="15" t="n"/>
      <c r="E49" s="15" t="n"/>
      <c r="G49" s="16" t="n"/>
      <c r="H49" s="15" t="n"/>
      <c r="J49" s="15" t="n"/>
    </row>
    <row r="50">
      <c r="C50" s="15" t="n"/>
      <c r="D50" s="15" t="n"/>
      <c r="E50" s="15" t="n"/>
      <c r="G50" s="16" t="n"/>
      <c r="H50" s="15" t="n"/>
      <c r="J50" s="15" t="n"/>
    </row>
    <row r="51">
      <c r="C51" s="15" t="n"/>
      <c r="D51" s="15" t="n"/>
      <c r="E51" s="15" t="n"/>
      <c r="G51" s="16" t="n"/>
      <c r="H51" s="15" t="n"/>
      <c r="J51" s="15" t="n"/>
    </row>
    <row r="52">
      <c r="C52" s="15" t="n"/>
      <c r="D52" s="15" t="n"/>
      <c r="E52" s="15" t="n"/>
      <c r="G52" s="16" t="n"/>
      <c r="H52" s="15" t="n"/>
      <c r="J52" s="15" t="n"/>
    </row>
    <row r="53">
      <c r="C53" s="15" t="n"/>
      <c r="D53" s="15" t="n"/>
      <c r="E53" s="15" t="n"/>
      <c r="G53" s="16" t="n"/>
      <c r="H53" s="15" t="n"/>
      <c r="J53" s="15" t="n"/>
    </row>
    <row r="54">
      <c r="C54" s="15" t="n"/>
      <c r="D54" s="15" t="n"/>
      <c r="E54" s="15" t="n"/>
      <c r="G54" s="16" t="n"/>
      <c r="H54" s="15" t="n"/>
      <c r="J54" s="15" t="n"/>
    </row>
    <row r="55">
      <c r="C55" s="15" t="n"/>
      <c r="D55" s="15" t="n"/>
      <c r="E55" s="15" t="n"/>
      <c r="G55" s="16" t="n"/>
      <c r="H55" s="15" t="n"/>
      <c r="J55" s="15" t="n"/>
    </row>
    <row r="56">
      <c r="C56" s="15" t="n"/>
      <c r="D56" s="15" t="n"/>
      <c r="E56" s="15" t="n"/>
      <c r="G56" s="16" t="n"/>
      <c r="H56" s="15" t="n"/>
      <c r="J56" s="15" t="n"/>
    </row>
    <row r="57">
      <c r="C57" s="15" t="n"/>
      <c r="D57" s="15" t="n"/>
      <c r="E57" s="15" t="n"/>
      <c r="G57" s="16" t="n"/>
      <c r="H57" s="15" t="n"/>
      <c r="J57" s="15" t="n"/>
    </row>
    <row r="58">
      <c r="C58" s="15" t="n"/>
      <c r="D58" s="15" t="n"/>
      <c r="E58" s="15" t="n"/>
      <c r="G58" s="16" t="n"/>
      <c r="H58" s="15" t="n"/>
      <c r="J58" s="15" t="n"/>
    </row>
    <row r="59">
      <c r="C59" s="15" t="n"/>
      <c r="D59" s="15" t="n"/>
      <c r="E59" s="15" t="n"/>
      <c r="G59" s="16" t="n"/>
      <c r="H59" s="15" t="n"/>
      <c r="J59" s="15" t="n"/>
    </row>
    <row r="60">
      <c r="C60" s="15" t="n"/>
      <c r="D60" s="15" t="n"/>
      <c r="E60" s="15" t="n"/>
      <c r="G60" s="16" t="n"/>
      <c r="H60" s="15" t="n"/>
      <c r="J60" s="15" t="n"/>
    </row>
    <row r="61">
      <c r="C61" s="15" t="n"/>
      <c r="D61" s="15" t="n"/>
      <c r="E61" s="15" t="n"/>
      <c r="G61" s="16" t="n"/>
      <c r="H61" s="15" t="n"/>
      <c r="J61" s="15" t="n"/>
    </row>
    <row r="62">
      <c r="C62" s="15" t="n"/>
      <c r="D62" s="15" t="n"/>
      <c r="E62" s="15" t="n"/>
      <c r="G62" s="16" t="n"/>
      <c r="H62" s="15" t="n"/>
      <c r="J62" s="15" t="n"/>
    </row>
    <row r="63">
      <c r="C63" s="15" t="n"/>
      <c r="D63" s="15" t="n"/>
      <c r="E63" s="15" t="n"/>
      <c r="G63" s="16" t="n"/>
      <c r="H63" s="15" t="n"/>
      <c r="J63" s="15" t="n"/>
    </row>
    <row r="64">
      <c r="C64" s="15" t="n"/>
      <c r="D64" s="15" t="n"/>
      <c r="E64" s="15" t="n"/>
      <c r="G64" s="16" t="n"/>
      <c r="H64" s="15" t="n"/>
      <c r="J64" s="15" t="n"/>
    </row>
    <row r="65">
      <c r="C65" s="15" t="n"/>
      <c r="D65" s="15" t="n"/>
      <c r="E65" s="15" t="n"/>
      <c r="G65" s="16" t="n"/>
      <c r="H65" s="15" t="n"/>
      <c r="J65" s="15" t="n"/>
    </row>
    <row r="66">
      <c r="C66" s="15" t="n"/>
      <c r="D66" s="15" t="n"/>
      <c r="E66" s="15" t="n"/>
      <c r="G66" s="16" t="n"/>
      <c r="H66" s="15" t="n"/>
      <c r="J66" s="15" t="n"/>
    </row>
    <row r="67">
      <c r="C67" s="15" t="n"/>
      <c r="D67" s="15" t="n"/>
      <c r="E67" s="15" t="n"/>
      <c r="G67" s="16" t="n"/>
      <c r="H67" s="15" t="n"/>
      <c r="J67" s="15" t="n"/>
    </row>
    <row r="68">
      <c r="C68" s="15" t="n"/>
      <c r="D68" s="15" t="n"/>
      <c r="E68" s="15" t="n"/>
      <c r="G68" s="16" t="n"/>
      <c r="H68" s="15" t="n"/>
      <c r="J68" s="15" t="n"/>
    </row>
    <row r="69">
      <c r="C69" s="15" t="n"/>
      <c r="D69" s="15" t="n"/>
      <c r="E69" s="15" t="n"/>
      <c r="G69" s="16" t="n"/>
      <c r="H69" s="15" t="n"/>
      <c r="J69" s="15" t="n"/>
    </row>
    <row r="70">
      <c r="C70" s="15" t="n"/>
      <c r="D70" s="15" t="n"/>
      <c r="E70" s="15" t="n"/>
      <c r="G70" s="16" t="n"/>
      <c r="H70" s="15" t="n"/>
      <c r="J70" s="15" t="n"/>
    </row>
    <row r="71">
      <c r="C71" s="15" t="n"/>
      <c r="D71" s="15" t="n"/>
      <c r="E71" s="15" t="n"/>
      <c r="G71" s="16" t="n"/>
      <c r="H71" s="15" t="n"/>
      <c r="J71" s="15" t="n"/>
    </row>
    <row r="72">
      <c r="C72" s="15" t="n"/>
      <c r="D72" s="15" t="n"/>
      <c r="E72" s="15" t="n"/>
      <c r="G72" s="16" t="n"/>
      <c r="H72" s="15" t="n"/>
      <c r="J72" s="15" t="n"/>
    </row>
    <row r="73">
      <c r="C73" s="15" t="n"/>
      <c r="D73" s="15" t="n"/>
      <c r="E73" s="15" t="n"/>
      <c r="G73" s="16" t="n"/>
      <c r="H73" s="15" t="n"/>
      <c r="J73" s="15" t="n"/>
    </row>
    <row r="74">
      <c r="C74" s="15" t="n"/>
      <c r="D74" s="15" t="n"/>
      <c r="E74" s="15" t="n"/>
      <c r="G74" s="16" t="n"/>
      <c r="H74" s="15" t="n"/>
      <c r="J74" s="15" t="n"/>
    </row>
    <row r="75">
      <c r="C75" s="15" t="n"/>
      <c r="D75" s="15" t="n"/>
      <c r="E75" s="15" t="n"/>
      <c r="G75" s="16" t="n"/>
      <c r="H75" s="15" t="n"/>
      <c r="J75" s="15" t="n"/>
    </row>
    <row r="76">
      <c r="C76" s="15" t="n"/>
      <c r="D76" s="15" t="n"/>
      <c r="E76" s="15" t="n"/>
      <c r="G76" s="16" t="n"/>
      <c r="H76" s="15" t="n"/>
      <c r="J76" s="15" t="n"/>
    </row>
    <row r="77">
      <c r="C77" s="15" t="n"/>
      <c r="D77" s="15" t="n"/>
      <c r="E77" s="15" t="n"/>
      <c r="G77" s="16" t="n"/>
      <c r="H77" s="15" t="n"/>
      <c r="J77" s="15" t="n"/>
    </row>
    <row r="78">
      <c r="C78" s="15" t="n"/>
      <c r="D78" s="15" t="n"/>
      <c r="E78" s="15" t="n"/>
      <c r="G78" s="16" t="n"/>
      <c r="H78" s="15" t="n"/>
      <c r="J78" s="15" t="n"/>
    </row>
    <row r="79">
      <c r="C79" s="15" t="n"/>
      <c r="D79" s="15" t="n"/>
      <c r="E79" s="15" t="n"/>
      <c r="G79" s="16" t="n"/>
      <c r="H79" s="15" t="n"/>
      <c r="J79" s="15" t="n"/>
    </row>
    <row r="80">
      <c r="C80" s="15" t="n"/>
      <c r="D80" s="15" t="n"/>
      <c r="E80" s="15" t="n"/>
      <c r="G80" s="16" t="n"/>
      <c r="H80" s="15" t="n"/>
      <c r="J80" s="15" t="n"/>
    </row>
    <row r="81">
      <c r="C81" s="15" t="n"/>
      <c r="D81" s="15" t="n"/>
      <c r="E81" s="15" t="n"/>
      <c r="G81" s="16" t="n"/>
      <c r="H81" s="15" t="n"/>
      <c r="J81" s="15" t="n"/>
    </row>
    <row r="82">
      <c r="C82" s="15" t="n"/>
      <c r="D82" s="15" t="n"/>
      <c r="E82" s="15" t="n"/>
      <c r="G82" s="16" t="n"/>
      <c r="H82" s="15" t="n"/>
      <c r="J82" s="15" t="n"/>
    </row>
    <row r="83">
      <c r="C83" s="15" t="n"/>
      <c r="D83" s="15" t="n"/>
      <c r="E83" s="15" t="n"/>
      <c r="G83" s="16" t="n"/>
      <c r="H83" s="15" t="n"/>
      <c r="J83" s="15" t="n"/>
    </row>
    <row r="84">
      <c r="C84" s="15" t="n"/>
      <c r="D84" s="15" t="n"/>
      <c r="E84" s="15" t="n"/>
      <c r="G84" s="16" t="n"/>
      <c r="H84" s="15" t="n"/>
      <c r="J84" s="15" t="n"/>
    </row>
    <row r="85">
      <c r="C85" s="15" t="n"/>
      <c r="D85" s="15" t="n"/>
      <c r="E85" s="15" t="n"/>
      <c r="G85" s="16" t="n"/>
      <c r="H85" s="15" t="n"/>
      <c r="J85" s="15" t="n"/>
    </row>
    <row r="86">
      <c r="C86" s="15" t="n"/>
      <c r="D86" s="15" t="n"/>
      <c r="E86" s="15" t="n"/>
      <c r="G86" s="16" t="n"/>
      <c r="H86" s="15" t="n"/>
      <c r="J86" s="15" t="n"/>
    </row>
    <row r="87">
      <c r="C87" s="15" t="n"/>
      <c r="D87" s="15" t="n"/>
      <c r="E87" s="15" t="n"/>
      <c r="G87" s="16" t="n"/>
      <c r="H87" s="15" t="n"/>
      <c r="J87" s="15" t="n"/>
    </row>
    <row r="88">
      <c r="C88" s="15" t="n"/>
      <c r="D88" s="15" t="n"/>
      <c r="E88" s="15" t="n"/>
      <c r="G88" s="16" t="n"/>
      <c r="H88" s="15" t="n"/>
      <c r="J88" s="15" t="n"/>
    </row>
    <row r="89">
      <c r="C89" s="15" t="n"/>
      <c r="D89" s="15" t="n"/>
      <c r="E89" s="15" t="n"/>
      <c r="G89" s="16" t="n"/>
      <c r="H89" s="15" t="n"/>
      <c r="J89" s="15" t="n"/>
    </row>
    <row r="90">
      <c r="C90" s="15" t="n"/>
      <c r="D90" s="15" t="n"/>
      <c r="E90" s="15" t="n"/>
      <c r="G90" s="16" t="n"/>
      <c r="H90" s="15" t="n"/>
      <c r="J90" s="15" t="n"/>
    </row>
    <row r="91">
      <c r="C91" s="15" t="n"/>
      <c r="D91" s="15" t="n"/>
      <c r="E91" s="15" t="n"/>
      <c r="G91" s="16" t="n"/>
      <c r="H91" s="15" t="n"/>
      <c r="J91" s="15" t="n"/>
    </row>
    <row r="92">
      <c r="C92" s="15" t="n"/>
      <c r="D92" s="15" t="n"/>
      <c r="E92" s="15" t="n"/>
      <c r="G92" s="16" t="n"/>
      <c r="H92" s="15" t="n"/>
      <c r="J92" s="15" t="n"/>
    </row>
    <row r="93">
      <c r="C93" s="15" t="n"/>
      <c r="D93" s="15" t="n"/>
      <c r="E93" s="15" t="n"/>
      <c r="G93" s="16" t="n"/>
      <c r="H93" s="15" t="n"/>
      <c r="J93" s="15" t="n"/>
    </row>
    <row r="94">
      <c r="C94" s="15" t="n"/>
      <c r="D94" s="15" t="n"/>
      <c r="E94" s="15" t="n"/>
      <c r="G94" s="16" t="n"/>
      <c r="H94" s="15" t="n"/>
      <c r="J94" s="15" t="n"/>
    </row>
    <row r="95">
      <c r="C95" s="15" t="n"/>
      <c r="D95" s="15" t="n"/>
      <c r="E95" s="15" t="n"/>
      <c r="G95" s="16" t="n"/>
      <c r="H95" s="15" t="n"/>
      <c r="J95" s="15" t="n"/>
    </row>
    <row r="96">
      <c r="C96" s="15" t="n"/>
      <c r="D96" s="15" t="n"/>
      <c r="E96" s="15" t="n"/>
      <c r="G96" s="16" t="n"/>
      <c r="H96" s="15" t="n"/>
      <c r="J96" s="15" t="n"/>
    </row>
    <row r="97">
      <c r="C97" s="15" t="n"/>
      <c r="D97" s="15" t="n"/>
      <c r="E97" s="15" t="n"/>
      <c r="G97" s="16" t="n"/>
      <c r="H97" s="15" t="n"/>
      <c r="J97" s="15" t="n"/>
    </row>
    <row r="98">
      <c r="C98" s="15" t="n"/>
      <c r="D98" s="15" t="n"/>
      <c r="E98" s="15" t="n"/>
      <c r="G98" s="16" t="n"/>
      <c r="H98" s="15" t="n"/>
      <c r="J98" s="15" t="n"/>
    </row>
    <row r="99">
      <c r="C99" s="15" t="n"/>
      <c r="D99" s="15" t="n"/>
      <c r="E99" s="15" t="n"/>
      <c r="G99" s="16" t="n"/>
      <c r="H99" s="15" t="n"/>
      <c r="J99" s="15" t="n"/>
    </row>
    <row r="100">
      <c r="C100" s="15" t="n"/>
      <c r="D100" s="15" t="n"/>
      <c r="E100" s="15" t="n"/>
      <c r="G100" s="16" t="n"/>
      <c r="H100" s="15" t="n"/>
      <c r="J100" s="15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F10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1" t="inlineStr">
        <is>
          <t>Reports</t>
        </is>
      </c>
    </row>
    <row r="3">
      <c r="B3" s="12" t="inlineStr">
        <is>
          <t>Month-over-month trends, spending comparison and category rankings</t>
        </is>
      </c>
    </row>
    <row r="5">
      <c r="A5" s="9" t="inlineStr">
        <is>
          <t>Month</t>
        </is>
      </c>
      <c r="B5" s="9" t="inlineStr">
        <is>
          <t>Income</t>
        </is>
      </c>
      <c r="C5" s="9" t="inlineStr">
        <is>
          <t>Expenses</t>
        </is>
      </c>
      <c r="D5" s="9" t="inlineStr">
        <is>
          <t>Investments</t>
        </is>
      </c>
      <c r="E5" s="9" t="inlineStr">
        <is>
          <t>Savings</t>
        </is>
      </c>
      <c r="F5" s="9" t="inlineStr">
        <is>
          <t>Savings Rate</t>
        </is>
      </c>
    </row>
    <row r="6">
      <c r="A6" s="10" t="inlineStr">
        <is>
          <t>2026-01</t>
        </is>
      </c>
      <c r="B6" s="13" t="n">
        <v>10100</v>
      </c>
      <c r="C6" s="13" t="n">
        <v>5150</v>
      </c>
      <c r="D6" s="13" t="n">
        <v>1800</v>
      </c>
      <c r="E6" s="13" t="n">
        <v>3150</v>
      </c>
      <c r="F6" s="14">
        <f>IF(B6=0,0,E6/B6)</f>
        <v/>
      </c>
    </row>
    <row r="7">
      <c r="A7" s="10" t="inlineStr">
        <is>
          <t>2026-02</t>
        </is>
      </c>
      <c r="B7" s="13" t="n">
        <v>10400</v>
      </c>
      <c r="C7" s="13" t="n">
        <v>5480</v>
      </c>
      <c r="D7" s="13" t="n">
        <v>1900</v>
      </c>
      <c r="E7" s="13" t="n">
        <v>3020</v>
      </c>
      <c r="F7" s="14">
        <f>IF(B7=0,0,E7/B7)</f>
        <v/>
      </c>
    </row>
    <row r="8">
      <c r="A8" s="10" t="inlineStr">
        <is>
          <t>2026-03</t>
        </is>
      </c>
      <c r="B8" s="13" t="n">
        <v>10400</v>
      </c>
      <c r="C8" s="13" t="n">
        <v>5325</v>
      </c>
      <c r="D8" s="13" t="n">
        <v>2000</v>
      </c>
      <c r="E8" s="13" t="n">
        <v>3075</v>
      </c>
      <c r="F8" s="14">
        <f>IF(B8=0,0,E8/B8)</f>
        <v/>
      </c>
    </row>
    <row r="9">
      <c r="A9" s="10" t="inlineStr">
        <is>
          <t>2026-04</t>
        </is>
      </c>
      <c r="B9" s="13" t="n">
        <v>10400</v>
      </c>
      <c r="C9" s="13" t="n">
        <v>5700</v>
      </c>
      <c r="D9" s="13" t="n">
        <v>2000</v>
      </c>
      <c r="E9" s="13" t="n">
        <v>2700</v>
      </c>
      <c r="F9" s="14">
        <f>IF(B9=0,0,E9/B9)</f>
        <v/>
      </c>
    </row>
    <row r="10">
      <c r="A10" s="10" t="inlineStr">
        <is>
          <t>2026-05</t>
        </is>
      </c>
      <c r="B10" s="13" t="n">
        <v>10400</v>
      </c>
      <c r="C10" s="13" t="n">
        <v>3239</v>
      </c>
      <c r="D10" s="13" t="n">
        <v>2000</v>
      </c>
      <c r="E10" s="13" t="n">
        <v>5161</v>
      </c>
      <c r="F10" s="14">
        <f>IF(B10=0,0,E10/B10)</f>
        <v/>
      </c>
    </row>
    <row r="11">
      <c r="B11" s="15" t="n"/>
      <c r="C11" s="15" t="n"/>
      <c r="D11" s="15" t="n"/>
      <c r="E11" s="15" t="n"/>
      <c r="F11" s="16" t="n"/>
    </row>
    <row r="12">
      <c r="B12" s="15" t="n"/>
      <c r="C12" s="15" t="n"/>
      <c r="D12" s="15" t="n"/>
      <c r="E12" s="15" t="n"/>
      <c r="F12" s="16" t="n"/>
    </row>
    <row r="13">
      <c r="B13" s="15" t="n"/>
      <c r="C13" s="15" t="n"/>
      <c r="D13" s="15" t="n"/>
      <c r="E13" s="15" t="n"/>
      <c r="F13" s="16" t="n"/>
    </row>
    <row r="14">
      <c r="B14" s="15" t="n"/>
      <c r="C14" s="15" t="n"/>
      <c r="D14" s="15" t="n"/>
      <c r="E14" s="15" t="n"/>
      <c r="F14" s="16" t="n"/>
    </row>
    <row r="15">
      <c r="B15" s="15" t="n"/>
      <c r="C15" s="15" t="n"/>
      <c r="D15" s="15" t="n"/>
      <c r="E15" s="15" t="n"/>
      <c r="F15" s="16" t="n"/>
    </row>
    <row r="16">
      <c r="B16" s="15" t="n"/>
      <c r="C16" s="15" t="n"/>
      <c r="D16" s="15" t="n"/>
      <c r="E16" s="15" t="n"/>
      <c r="F16" s="16" t="n"/>
    </row>
    <row r="17">
      <c r="B17" s="15" t="n"/>
      <c r="C17" s="15" t="n"/>
      <c r="D17" s="15" t="n"/>
      <c r="E17" s="15" t="n"/>
      <c r="F17" s="16" t="n"/>
    </row>
    <row r="18">
      <c r="B18" s="15" t="n"/>
      <c r="C18" s="15" t="n"/>
      <c r="D18" s="15" t="n"/>
      <c r="E18" s="15" t="n"/>
      <c r="F18" s="16" t="n"/>
    </row>
    <row r="19">
      <c r="B19" s="15" t="n"/>
      <c r="C19" s="15" t="n"/>
      <c r="D19" s="15" t="n"/>
      <c r="E19" s="15" t="n"/>
      <c r="F19" s="16" t="n"/>
    </row>
    <row r="20">
      <c r="B20" s="15" t="n"/>
      <c r="C20" s="15" t="n"/>
      <c r="D20" s="15" t="n"/>
      <c r="E20" s="15" t="n"/>
      <c r="F20" s="16" t="n"/>
    </row>
    <row r="21">
      <c r="B21" s="15" t="n"/>
      <c r="C21" s="15" t="n"/>
      <c r="D21" s="15" t="n"/>
      <c r="E21" s="15" t="n"/>
      <c r="F21" s="16" t="n"/>
    </row>
    <row r="22">
      <c r="B22" s="15" t="n"/>
      <c r="C22" s="15" t="n"/>
      <c r="D22" s="15" t="n"/>
      <c r="E22" s="15" t="n"/>
      <c r="F22" s="16" t="n"/>
    </row>
    <row r="23">
      <c r="B23" s="15" t="n"/>
      <c r="C23" s="15" t="n"/>
      <c r="D23" s="15" t="n"/>
      <c r="E23" s="15" t="n"/>
      <c r="F23" s="16" t="n"/>
    </row>
    <row r="24">
      <c r="B24" s="15" t="n"/>
      <c r="C24" s="15" t="n"/>
      <c r="D24" s="15" t="n"/>
      <c r="E24" s="15" t="n"/>
      <c r="F24" s="16" t="n"/>
    </row>
    <row r="25">
      <c r="B25" s="15" t="n"/>
      <c r="C25" s="15" t="n"/>
      <c r="D25" s="15" t="n"/>
      <c r="E25" s="15" t="n"/>
      <c r="F25" s="16" t="n"/>
    </row>
    <row r="26">
      <c r="B26" s="15" t="n"/>
      <c r="C26" s="15" t="n"/>
      <c r="D26" s="15" t="n"/>
      <c r="E26" s="15" t="n"/>
      <c r="F26" s="16" t="n"/>
    </row>
    <row r="27">
      <c r="B27" s="15" t="n"/>
      <c r="C27" s="15" t="n"/>
      <c r="D27" s="15" t="n"/>
      <c r="E27" s="15" t="n"/>
      <c r="F27" s="16" t="n"/>
    </row>
    <row r="28">
      <c r="B28" s="15" t="n"/>
      <c r="C28" s="15" t="n"/>
      <c r="D28" s="15" t="n"/>
      <c r="E28" s="15" t="n"/>
      <c r="F28" s="16" t="n"/>
    </row>
    <row r="29">
      <c r="B29" s="15" t="n"/>
      <c r="C29" s="15" t="n"/>
      <c r="D29" s="15" t="n"/>
      <c r="E29" s="15" t="n"/>
      <c r="F29" s="16" t="n"/>
    </row>
    <row r="30">
      <c r="B30" s="15" t="n"/>
      <c r="C30" s="15" t="n"/>
      <c r="D30" s="15" t="n"/>
      <c r="E30" s="15" t="n"/>
      <c r="F30" s="16" t="n"/>
    </row>
    <row r="31">
      <c r="B31" s="15" t="n"/>
      <c r="C31" s="15" t="n"/>
      <c r="D31" s="15" t="n"/>
      <c r="E31" s="15" t="n"/>
      <c r="F31" s="16" t="n"/>
    </row>
    <row r="32">
      <c r="B32" s="15" t="n"/>
      <c r="C32" s="15" t="n"/>
      <c r="D32" s="15" t="n"/>
      <c r="E32" s="15" t="n"/>
      <c r="F32" s="16" t="n"/>
    </row>
    <row r="33">
      <c r="B33" s="15" t="n"/>
      <c r="C33" s="15" t="n"/>
      <c r="D33" s="15" t="n"/>
      <c r="E33" s="15" t="n"/>
      <c r="F33" s="16" t="n"/>
    </row>
    <row r="34">
      <c r="B34" s="15" t="n"/>
      <c r="C34" s="15" t="n"/>
      <c r="D34" s="15" t="n"/>
      <c r="E34" s="15" t="n"/>
      <c r="F34" s="16" t="n"/>
    </row>
    <row r="35">
      <c r="B35" s="15" t="n"/>
      <c r="C35" s="15" t="n"/>
      <c r="D35" s="15" t="n"/>
      <c r="E35" s="15" t="n"/>
      <c r="F35" s="16" t="n"/>
    </row>
    <row r="36">
      <c r="B36" s="15" t="n"/>
      <c r="C36" s="15" t="n"/>
      <c r="D36" s="15" t="n"/>
      <c r="E36" s="15" t="n"/>
      <c r="F36" s="16" t="n"/>
    </row>
    <row r="37">
      <c r="B37" s="15" t="n"/>
      <c r="C37" s="15" t="n"/>
      <c r="D37" s="15" t="n"/>
      <c r="E37" s="15" t="n"/>
      <c r="F37" s="16" t="n"/>
    </row>
    <row r="38">
      <c r="B38" s="15" t="n"/>
      <c r="C38" s="15" t="n"/>
      <c r="D38" s="15" t="n"/>
      <c r="E38" s="15" t="n"/>
      <c r="F38" s="16" t="n"/>
    </row>
    <row r="39">
      <c r="B39" s="15" t="n"/>
      <c r="C39" s="15" t="n"/>
      <c r="D39" s="15" t="n"/>
      <c r="E39" s="15" t="n"/>
      <c r="F39" s="16" t="n"/>
    </row>
    <row r="40">
      <c r="B40" s="15" t="n"/>
      <c r="C40" s="15" t="n"/>
      <c r="D40" s="15" t="n"/>
      <c r="E40" s="15" t="n"/>
      <c r="F40" s="16" t="n"/>
    </row>
    <row r="41">
      <c r="B41" s="15" t="n"/>
      <c r="C41" s="15" t="n"/>
      <c r="D41" s="15" t="n"/>
      <c r="E41" s="15" t="n"/>
      <c r="F41" s="16" t="n"/>
    </row>
    <row r="42">
      <c r="B42" s="15" t="n"/>
      <c r="C42" s="15" t="n"/>
      <c r="D42" s="15" t="n"/>
      <c r="E42" s="15" t="n"/>
      <c r="F42" s="16" t="n"/>
    </row>
    <row r="43">
      <c r="B43" s="15" t="n"/>
      <c r="C43" s="15" t="n"/>
      <c r="D43" s="15" t="n"/>
      <c r="E43" s="15" t="n"/>
      <c r="F43" s="16" t="n"/>
    </row>
    <row r="44">
      <c r="B44" s="15" t="n"/>
      <c r="C44" s="15" t="n"/>
      <c r="D44" s="15" t="n"/>
      <c r="E44" s="15" t="n"/>
      <c r="F44" s="16" t="n"/>
    </row>
    <row r="45">
      <c r="B45" s="15" t="n"/>
      <c r="C45" s="15" t="n"/>
      <c r="D45" s="15" t="n"/>
      <c r="E45" s="15" t="n"/>
      <c r="F45" s="16" t="n"/>
    </row>
    <row r="46">
      <c r="B46" s="15" t="n"/>
      <c r="C46" s="15" t="n"/>
      <c r="D46" s="15" t="n"/>
      <c r="E46" s="15" t="n"/>
      <c r="F46" s="16" t="n"/>
    </row>
    <row r="47">
      <c r="B47" s="15" t="n"/>
      <c r="C47" s="15" t="n"/>
      <c r="D47" s="15" t="n"/>
      <c r="E47" s="15" t="n"/>
      <c r="F47" s="16" t="n"/>
    </row>
    <row r="48">
      <c r="B48" s="15" t="n"/>
      <c r="C48" s="15" t="n"/>
      <c r="D48" s="15" t="n"/>
      <c r="E48" s="15" t="n"/>
      <c r="F48" s="16" t="n"/>
    </row>
    <row r="49">
      <c r="B49" s="15" t="n"/>
      <c r="C49" s="15" t="n"/>
      <c r="D49" s="15" t="n"/>
      <c r="E49" s="15" t="n"/>
      <c r="F49" s="16" t="n"/>
    </row>
    <row r="50">
      <c r="B50" s="15" t="n"/>
      <c r="C50" s="15" t="n"/>
      <c r="D50" s="15" t="n"/>
      <c r="E50" s="15" t="n"/>
      <c r="F50" s="16" t="n"/>
    </row>
    <row r="51">
      <c r="B51" s="15" t="n"/>
      <c r="C51" s="15" t="n"/>
      <c r="D51" s="15" t="n"/>
      <c r="E51" s="15" t="n"/>
      <c r="F51" s="16" t="n"/>
    </row>
    <row r="52">
      <c r="B52" s="15" t="n"/>
      <c r="C52" s="15" t="n"/>
      <c r="D52" s="15" t="n"/>
      <c r="E52" s="15" t="n"/>
      <c r="F52" s="16" t="n"/>
    </row>
    <row r="53">
      <c r="B53" s="15" t="n"/>
      <c r="C53" s="15" t="n"/>
      <c r="D53" s="15" t="n"/>
      <c r="E53" s="15" t="n"/>
      <c r="F53" s="16" t="n"/>
    </row>
    <row r="54">
      <c r="B54" s="15" t="n"/>
      <c r="C54" s="15" t="n"/>
      <c r="D54" s="15" t="n"/>
      <c r="E54" s="15" t="n"/>
      <c r="F54" s="16" t="n"/>
    </row>
    <row r="55">
      <c r="B55" s="15" t="n"/>
      <c r="C55" s="15" t="n"/>
      <c r="D55" s="15" t="n"/>
      <c r="E55" s="15" t="n"/>
      <c r="F55" s="16" t="n"/>
    </row>
    <row r="56">
      <c r="B56" s="15" t="n"/>
      <c r="C56" s="15" t="n"/>
      <c r="D56" s="15" t="n"/>
      <c r="E56" s="15" t="n"/>
      <c r="F56" s="16" t="n"/>
    </row>
    <row r="57">
      <c r="B57" s="15" t="n"/>
      <c r="C57" s="15" t="n"/>
      <c r="D57" s="15" t="n"/>
      <c r="E57" s="15" t="n"/>
      <c r="F57" s="16" t="n"/>
    </row>
    <row r="58">
      <c r="B58" s="15" t="n"/>
      <c r="C58" s="15" t="n"/>
      <c r="D58" s="15" t="n"/>
      <c r="E58" s="15" t="n"/>
      <c r="F58" s="16" t="n"/>
    </row>
    <row r="59">
      <c r="B59" s="15" t="n"/>
      <c r="C59" s="15" t="n"/>
      <c r="D59" s="15" t="n"/>
      <c r="E59" s="15" t="n"/>
      <c r="F59" s="16" t="n"/>
    </row>
    <row r="60">
      <c r="B60" s="15" t="n"/>
      <c r="C60" s="15" t="n"/>
      <c r="D60" s="15" t="n"/>
      <c r="E60" s="15" t="n"/>
      <c r="F60" s="16" t="n"/>
    </row>
    <row r="61">
      <c r="B61" s="15" t="n"/>
      <c r="C61" s="15" t="n"/>
      <c r="D61" s="15" t="n"/>
      <c r="E61" s="15" t="n"/>
      <c r="F61" s="16" t="n"/>
    </row>
    <row r="62">
      <c r="B62" s="15" t="n"/>
      <c r="C62" s="15" t="n"/>
      <c r="D62" s="15" t="n"/>
      <c r="E62" s="15" t="n"/>
      <c r="F62" s="16" t="n"/>
    </row>
    <row r="63">
      <c r="B63" s="15" t="n"/>
      <c r="C63" s="15" t="n"/>
      <c r="D63" s="15" t="n"/>
      <c r="E63" s="15" t="n"/>
      <c r="F63" s="16" t="n"/>
    </row>
    <row r="64">
      <c r="B64" s="15" t="n"/>
      <c r="C64" s="15" t="n"/>
      <c r="D64" s="15" t="n"/>
      <c r="E64" s="15" t="n"/>
      <c r="F64" s="16" t="n"/>
    </row>
    <row r="65">
      <c r="B65" s="15" t="n"/>
      <c r="C65" s="15" t="n"/>
      <c r="D65" s="15" t="n"/>
      <c r="E65" s="15" t="n"/>
      <c r="F65" s="16" t="n"/>
    </row>
    <row r="66">
      <c r="B66" s="15" t="n"/>
      <c r="C66" s="15" t="n"/>
      <c r="D66" s="15" t="n"/>
      <c r="E66" s="15" t="n"/>
      <c r="F66" s="16" t="n"/>
    </row>
    <row r="67">
      <c r="B67" s="15" t="n"/>
      <c r="C67" s="15" t="n"/>
      <c r="D67" s="15" t="n"/>
      <c r="E67" s="15" t="n"/>
      <c r="F67" s="16" t="n"/>
    </row>
    <row r="68">
      <c r="B68" s="15" t="n"/>
      <c r="C68" s="15" t="n"/>
      <c r="D68" s="15" t="n"/>
      <c r="E68" s="15" t="n"/>
      <c r="F68" s="16" t="n"/>
    </row>
    <row r="69">
      <c r="B69" s="15" t="n"/>
      <c r="C69" s="15" t="n"/>
      <c r="D69" s="15" t="n"/>
      <c r="E69" s="15" t="n"/>
      <c r="F69" s="16" t="n"/>
    </row>
    <row r="70">
      <c r="B70" s="15" t="n"/>
      <c r="C70" s="15" t="n"/>
      <c r="D70" s="15" t="n"/>
      <c r="E70" s="15" t="n"/>
      <c r="F70" s="16" t="n"/>
    </row>
    <row r="71">
      <c r="B71" s="15" t="n"/>
      <c r="C71" s="15" t="n"/>
      <c r="D71" s="15" t="n"/>
      <c r="E71" s="15" t="n"/>
      <c r="F71" s="16" t="n"/>
    </row>
    <row r="72">
      <c r="B72" s="15" t="n"/>
      <c r="C72" s="15" t="n"/>
      <c r="D72" s="15" t="n"/>
      <c r="E72" s="15" t="n"/>
      <c r="F72" s="16" t="n"/>
    </row>
    <row r="73">
      <c r="B73" s="15" t="n"/>
      <c r="C73" s="15" t="n"/>
      <c r="D73" s="15" t="n"/>
      <c r="E73" s="15" t="n"/>
      <c r="F73" s="16" t="n"/>
    </row>
    <row r="74">
      <c r="B74" s="15" t="n"/>
      <c r="C74" s="15" t="n"/>
      <c r="D74" s="15" t="n"/>
      <c r="E74" s="15" t="n"/>
      <c r="F74" s="16" t="n"/>
    </row>
    <row r="75">
      <c r="B75" s="15" t="n"/>
      <c r="C75" s="15" t="n"/>
      <c r="D75" s="15" t="n"/>
      <c r="E75" s="15" t="n"/>
      <c r="F75" s="16" t="n"/>
    </row>
    <row r="76">
      <c r="B76" s="15" t="n"/>
      <c r="C76" s="15" t="n"/>
      <c r="D76" s="15" t="n"/>
      <c r="E76" s="15" t="n"/>
      <c r="F76" s="16" t="n"/>
    </row>
    <row r="77">
      <c r="B77" s="15" t="n"/>
      <c r="C77" s="15" t="n"/>
      <c r="D77" s="15" t="n"/>
      <c r="E77" s="15" t="n"/>
      <c r="F77" s="16" t="n"/>
    </row>
    <row r="78">
      <c r="B78" s="15" t="n"/>
      <c r="C78" s="15" t="n"/>
      <c r="D78" s="15" t="n"/>
      <c r="E78" s="15" t="n"/>
      <c r="F78" s="16" t="n"/>
    </row>
    <row r="79">
      <c r="B79" s="15" t="n"/>
      <c r="C79" s="15" t="n"/>
      <c r="D79" s="15" t="n"/>
      <c r="E79" s="15" t="n"/>
      <c r="F79" s="16" t="n"/>
    </row>
    <row r="80">
      <c r="B80" s="15" t="n"/>
      <c r="C80" s="15" t="n"/>
      <c r="D80" s="15" t="n"/>
      <c r="E80" s="15" t="n"/>
      <c r="F80" s="16" t="n"/>
    </row>
    <row r="81">
      <c r="B81" s="15" t="n"/>
      <c r="C81" s="15" t="n"/>
      <c r="D81" s="15" t="n"/>
      <c r="E81" s="15" t="n"/>
      <c r="F81" s="16" t="n"/>
    </row>
    <row r="82">
      <c r="B82" s="15" t="n"/>
      <c r="C82" s="15" t="n"/>
      <c r="D82" s="15" t="n"/>
      <c r="E82" s="15" t="n"/>
      <c r="F82" s="16" t="n"/>
    </row>
    <row r="83">
      <c r="B83" s="15" t="n"/>
      <c r="C83" s="15" t="n"/>
      <c r="D83" s="15" t="n"/>
      <c r="E83" s="15" t="n"/>
      <c r="F83" s="16" t="n"/>
    </row>
    <row r="84">
      <c r="B84" s="15" t="n"/>
      <c r="C84" s="15" t="n"/>
      <c r="D84" s="15" t="n"/>
      <c r="E84" s="15" t="n"/>
      <c r="F84" s="16" t="n"/>
    </row>
    <row r="85">
      <c r="B85" s="15" t="n"/>
      <c r="C85" s="15" t="n"/>
      <c r="D85" s="15" t="n"/>
      <c r="E85" s="15" t="n"/>
      <c r="F85" s="16" t="n"/>
    </row>
    <row r="86">
      <c r="B86" s="15" t="n"/>
      <c r="C86" s="15" t="n"/>
      <c r="D86" s="15" t="n"/>
      <c r="E86" s="15" t="n"/>
      <c r="F86" s="16" t="n"/>
    </row>
    <row r="87">
      <c r="B87" s="15" t="n"/>
      <c r="C87" s="15" t="n"/>
      <c r="D87" s="15" t="n"/>
      <c r="E87" s="15" t="n"/>
      <c r="F87" s="16" t="n"/>
    </row>
    <row r="88">
      <c r="B88" s="15" t="n"/>
      <c r="C88" s="15" t="n"/>
      <c r="D88" s="15" t="n"/>
      <c r="E88" s="15" t="n"/>
      <c r="F88" s="16" t="n"/>
    </row>
    <row r="89">
      <c r="B89" s="15" t="n"/>
      <c r="C89" s="15" t="n"/>
      <c r="D89" s="15" t="n"/>
      <c r="E89" s="15" t="n"/>
      <c r="F89" s="16" t="n"/>
    </row>
    <row r="90">
      <c r="B90" s="15" t="n"/>
      <c r="C90" s="15" t="n"/>
      <c r="D90" s="15" t="n"/>
      <c r="E90" s="15" t="n"/>
      <c r="F90" s="16" t="n"/>
    </row>
    <row r="91">
      <c r="B91" s="15" t="n"/>
      <c r="C91" s="15" t="n"/>
      <c r="D91" s="15" t="n"/>
      <c r="E91" s="15" t="n"/>
      <c r="F91" s="16" t="n"/>
    </row>
    <row r="92">
      <c r="B92" s="15" t="n"/>
      <c r="C92" s="15" t="n"/>
      <c r="D92" s="15" t="n"/>
      <c r="E92" s="15" t="n"/>
      <c r="F92" s="16" t="n"/>
    </row>
    <row r="93">
      <c r="B93" s="15" t="n"/>
      <c r="C93" s="15" t="n"/>
      <c r="D93" s="15" t="n"/>
      <c r="E93" s="15" t="n"/>
      <c r="F93" s="16" t="n"/>
    </row>
    <row r="94">
      <c r="B94" s="15" t="n"/>
      <c r="C94" s="15" t="n"/>
      <c r="D94" s="15" t="n"/>
      <c r="E94" s="15" t="n"/>
      <c r="F94" s="16" t="n"/>
    </row>
    <row r="95">
      <c r="B95" s="15" t="n"/>
      <c r="C95" s="15" t="n"/>
      <c r="D95" s="15" t="n"/>
      <c r="E95" s="15" t="n"/>
      <c r="F95" s="16" t="n"/>
    </row>
    <row r="96">
      <c r="B96" s="15" t="n"/>
      <c r="C96" s="15" t="n"/>
      <c r="D96" s="15" t="n"/>
      <c r="E96" s="15" t="n"/>
      <c r="F96" s="16" t="n"/>
    </row>
    <row r="97">
      <c r="B97" s="15" t="n"/>
      <c r="C97" s="15" t="n"/>
      <c r="D97" s="15" t="n"/>
      <c r="E97" s="15" t="n"/>
      <c r="F97" s="16" t="n"/>
    </row>
    <row r="98">
      <c r="B98" s="15" t="n"/>
      <c r="C98" s="15" t="n"/>
      <c r="D98" s="15" t="n"/>
      <c r="E98" s="15" t="n"/>
      <c r="F98" s="16" t="n"/>
    </row>
    <row r="99">
      <c r="B99" s="15" t="n"/>
      <c r="C99" s="15" t="n"/>
      <c r="D99" s="15" t="n"/>
      <c r="E99" s="15" t="n"/>
      <c r="F99" s="16" t="n"/>
    </row>
    <row r="100">
      <c r="B100" s="15" t="n"/>
      <c r="C100" s="15" t="n"/>
      <c r="D100" s="15" t="n"/>
      <c r="E100" s="15" t="n"/>
      <c r="F100" s="16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B2" s="11" t="inlineStr">
        <is>
          <t>Smart Calendar</t>
        </is>
      </c>
    </row>
    <row r="3">
      <c r="B3" s="12" t="inlineStr">
        <is>
          <t>Calendar view of recurring and variable transactions</t>
        </is>
      </c>
    </row>
    <row r="5">
      <c r="B5" s="9" t="inlineStr">
        <is>
          <t>Mon</t>
        </is>
      </c>
      <c r="C5" s="9" t="inlineStr">
        <is>
          <t>Tue</t>
        </is>
      </c>
      <c r="D5" s="9" t="inlineStr">
        <is>
          <t>Wed</t>
        </is>
      </c>
      <c r="E5" s="9" t="inlineStr">
        <is>
          <t>Thu</t>
        </is>
      </c>
      <c r="F5" s="9" t="inlineStr">
        <is>
          <t>Fri</t>
        </is>
      </c>
      <c r="G5" s="9" t="inlineStr">
        <is>
          <t>Sat</t>
        </is>
      </c>
      <c r="H5" s="9" t="inlineStr">
        <is>
          <t>Sun</t>
        </is>
      </c>
    </row>
    <row r="6" ht="70" customHeight="1">
      <c r="B6" s="17" t="inlineStr"/>
      <c r="C6" s="17" t="inlineStr"/>
      <c r="D6" s="17" t="inlineStr"/>
      <c r="E6" s="17" t="inlineStr"/>
      <c r="F6" s="18" t="inlineStr">
        <is>
          <t>1
May Paycheck 1
Rent Payment</t>
        </is>
      </c>
      <c r="G6" s="17" t="n">
        <v>2</v>
      </c>
      <c r="H6" s="17" t="n">
        <v>3</v>
      </c>
    </row>
    <row r="7" ht="70" customHeight="1">
      <c r="B7" s="17" t="n">
        <v>4</v>
      </c>
      <c r="C7" s="18" t="inlineStr">
        <is>
          <t>5
Brokerage Auto-Invest
Roth IRA Contribution</t>
        </is>
      </c>
      <c r="D7" s="19" t="inlineStr">
        <is>
          <t>6
Costco Groceries</t>
        </is>
      </c>
      <c r="E7" s="17" t="n">
        <v>7</v>
      </c>
      <c r="F7" s="19" t="inlineStr">
        <is>
          <t>8
Internet Bill</t>
        </is>
      </c>
      <c r="G7" s="19" t="inlineStr">
        <is>
          <t>9
Gas Station</t>
        </is>
      </c>
      <c r="H7" s="19" t="inlineStr">
        <is>
          <t>10
Dinner Downtown</t>
        </is>
      </c>
    </row>
    <row r="8" ht="70" customHeight="1">
      <c r="B8" s="19" t="inlineStr">
        <is>
          <t>11
Online Course</t>
        </is>
      </c>
      <c r="C8" s="19" t="inlineStr">
        <is>
          <t>12
Mobile Phone Plan</t>
        </is>
      </c>
      <c r="D8" s="19" t="inlineStr">
        <is>
          <t>13
Trader Joes</t>
        </is>
      </c>
      <c r="E8" s="17" t="n">
        <v>14</v>
      </c>
      <c r="F8" s="18" t="inlineStr">
        <is>
          <t>15
Streaming Bundle
May Paycheck 2</t>
        </is>
      </c>
      <c r="G8" s="17" t="n">
        <v>16</v>
      </c>
      <c r="H8" s="19" t="inlineStr">
        <is>
          <t>17
Target Household</t>
        </is>
      </c>
    </row>
    <row r="9" ht="70" customHeight="1">
      <c r="B9" s="19" t="inlineStr">
        <is>
          <t>18
Car Loan Payment</t>
        </is>
      </c>
      <c r="C9" s="17" t="n">
        <v>19</v>
      </c>
      <c r="D9" s="19" t="inlineStr">
        <is>
          <t>20
Doctor Visit Copay</t>
        </is>
      </c>
      <c r="E9" s="17" t="n">
        <v>21</v>
      </c>
      <c r="F9" s="17" t="n">
        <v>22</v>
      </c>
      <c r="G9" s="17" t="n">
        <v>23</v>
      </c>
      <c r="H9" s="17" t="n">
        <v>24</v>
      </c>
    </row>
    <row r="10" ht="70" customHeight="1">
      <c r="B10" s="17" t="n">
        <v>25</v>
      </c>
      <c r="C10" s="17" t="n">
        <v>26</v>
      </c>
      <c r="D10" s="17" t="n">
        <v>27</v>
      </c>
      <c r="E10" s="17" t="n">
        <v>28</v>
      </c>
      <c r="F10" s="17" t="n">
        <v>29</v>
      </c>
      <c r="G10" s="17" t="n">
        <v>30</v>
      </c>
      <c r="H10" s="17" t="n">
        <v>31</v>
      </c>
    </row>
    <row r="11" ht="70" customHeight="1"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C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0" customWidth="1" min="3" max="3"/>
  </cols>
  <sheetData>
    <row r="2">
      <c r="B2" s="11" t="inlineStr">
        <is>
          <t>How to Use This Workbook</t>
        </is>
      </c>
    </row>
    <row r="3">
      <c r="B3" s="12" t="inlineStr">
        <is>
          <t>Built for embedding inside a Notion Budget / Finance dashboard</t>
        </is>
      </c>
    </row>
    <row r="5">
      <c r="A5" s="9" t="inlineStr">
        <is>
          <t>Step</t>
        </is>
      </c>
      <c r="B5" s="9" t="inlineStr">
        <is>
          <t>Action</t>
        </is>
      </c>
      <c r="C5" s="9" t="inlineStr">
        <is>
          <t>Details</t>
        </is>
      </c>
    </row>
    <row r="6">
      <c r="A6" s="10" t="inlineStr">
        <is>
          <t>1</t>
        </is>
      </c>
      <c r="B6" s="10" t="inlineStr">
        <is>
          <t>Set assumptions</t>
        </is>
      </c>
      <c r="C6" s="10" t="inlineStr">
        <is>
          <t>Go to Settings and confirm currency, month, budget strategy and emergency assumptions.</t>
        </is>
      </c>
    </row>
    <row r="7">
      <c r="A7" s="10" t="inlineStr">
        <is>
          <t>2</t>
        </is>
      </c>
      <c r="B7" s="10" t="inlineStr">
        <is>
          <t>Define budget</t>
        </is>
      </c>
      <c r="C7" s="10" t="inlineStr">
        <is>
          <t>Go to Budget Setup and configure categories, sub-categories, budget limits and thresholds.</t>
        </is>
      </c>
    </row>
    <row r="8">
      <c r="A8" s="10" t="inlineStr">
        <is>
          <t>3</t>
        </is>
      </c>
      <c r="B8" s="10" t="inlineStr">
        <is>
          <t>Configure recurring</t>
        </is>
      </c>
      <c r="C8" s="10" t="inlineStr">
        <is>
          <t>Go to Recurring Transactions and enter salary, bills, subscriptions, debt payments and investments once.</t>
        </is>
      </c>
    </row>
    <row r="9">
      <c r="A9" s="10" t="inlineStr">
        <is>
          <t>4</t>
        </is>
      </c>
      <c r="B9" s="10" t="inlineStr">
        <is>
          <t>Log transactions</t>
        </is>
      </c>
      <c r="C9" s="10" t="inlineStr">
        <is>
          <t>Go to Transaction Log and record day-to-day income, expenses, transfers, investments and debt payments.</t>
        </is>
      </c>
    </row>
    <row r="10">
      <c r="A10" s="10" t="inlineStr">
        <is>
          <t>5</t>
        </is>
      </c>
      <c r="B10" s="10" t="inlineStr">
        <is>
          <t>Track debt</t>
        </is>
      </c>
      <c r="C10" s="10" t="inlineStr">
        <is>
          <t>Go to Debt Tracker and update balances, APR, minimums, extra payments and strategy.</t>
        </is>
      </c>
    </row>
    <row r="11">
      <c r="A11" s="10" t="inlineStr">
        <is>
          <t>6</t>
        </is>
      </c>
      <c r="B11" s="10" t="inlineStr">
        <is>
          <t>Track savings</t>
        </is>
      </c>
      <c r="C11" s="10" t="inlineStr">
        <is>
          <t>Go to Savings Goals and update current amounts and contribution plans.</t>
        </is>
      </c>
    </row>
    <row r="12">
      <c r="A12" s="10" t="inlineStr">
        <is>
          <t>7</t>
        </is>
      </c>
      <c r="B12" s="10" t="inlineStr">
        <is>
          <t>Review dashboard</t>
        </is>
      </c>
      <c r="C12" s="10" t="inlineStr">
        <is>
          <t>Use Dashboard, Reports and Smart Calendar for insights.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2026-05-18T07:09:45Z</dcterms:created>
  <dcterms:modified xmlns:dcterms="http://purl.org/dc/terms/" xmlns:xsi="http://www.w3.org/2001/XMLSchema-instance" xsi:type="dcterms:W3CDTF">2026-05-18T07:09:46Z</dcterms:modified>
</cp:coreProperties>
</file>